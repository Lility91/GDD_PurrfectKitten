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a.saggiomo\Documents\GitHub\PurrfectPet\"/>
    </mc:Choice>
  </mc:AlternateContent>
  <xr:revisionPtr revIDLastSave="0" documentId="13_ncr:1_{DD02B5E3-4EE2-4826-8E31-E283B3952EE9}" xr6:coauthVersionLast="47" xr6:coauthVersionMax="47" xr10:uidLastSave="{00000000-0000-0000-0000-000000000000}"/>
  <bookViews>
    <workbookView xWindow="-120" yWindow="-120" windowWidth="29040" windowHeight="15720" activeTab="2" xr2:uid="{7FC76FEE-E067-4FBA-96A3-5DB80FE83AFC}"/>
  </bookViews>
  <sheets>
    <sheet name="ObjetivosGlobais" sheetId="4" r:id="rId1"/>
    <sheet name="ObjetivosConjunto" sheetId="5" r:id="rId2"/>
    <sheet name="ObjetivosTrending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6" l="1"/>
  <c r="P30" i="6"/>
  <c r="P29" i="6"/>
  <c r="P28" i="6"/>
  <c r="P27" i="6"/>
  <c r="P25" i="6"/>
  <c r="P24" i="6"/>
  <c r="P23" i="6"/>
  <c r="P22" i="6"/>
  <c r="P21" i="6"/>
  <c r="P19" i="6"/>
  <c r="P18" i="6"/>
  <c r="P17" i="6"/>
  <c r="P16" i="6"/>
  <c r="P15" i="6"/>
  <c r="P13" i="6"/>
  <c r="P12" i="6"/>
  <c r="P11" i="6"/>
  <c r="P10" i="6"/>
  <c r="P9" i="6"/>
  <c r="P7" i="6"/>
  <c r="P6" i="6"/>
  <c r="P5" i="6"/>
  <c r="P4" i="6"/>
  <c r="P3" i="6"/>
</calcChain>
</file>

<file path=xl/sharedStrings.xml><?xml version="1.0" encoding="utf-8"?>
<sst xmlns="http://schemas.openxmlformats.org/spreadsheetml/2006/main" count="753" uniqueCount="258">
  <si>
    <t>ID</t>
  </si>
  <si>
    <t>Nome do objetivo</t>
  </si>
  <si>
    <t>Tipo</t>
  </si>
  <si>
    <t>Descrição curta</t>
  </si>
  <si>
    <t>Categorias envolvidas</t>
  </si>
  <si>
    <t>Atributos específicos envolvidos</t>
  </si>
  <si>
    <t>Quantidade exigida</t>
  </si>
  <si>
    <t>Pode repetir atributo?</t>
  </si>
  <si>
    <t>Restrições / exceções</t>
  </si>
  <si>
    <t>Pontuação atual</t>
  </si>
  <si>
    <t>Observações</t>
  </si>
  <si>
    <t>Status</t>
  </si>
  <si>
    <t>Ideia Fixa</t>
  </si>
  <si>
    <t>Global</t>
  </si>
  <si>
    <t>Pontua por categoria repetida.</t>
  </si>
  <si>
    <t>Nenhum específico.</t>
  </si>
  <si>
    <t>Todas.</t>
  </si>
  <si>
    <t>Sim.</t>
  </si>
  <si>
    <t>Nenhuma.</t>
  </si>
  <si>
    <t>Pontuação máxima da carta é 10.</t>
  </si>
  <si>
    <t>Pontua por gato.</t>
  </si>
  <si>
    <t>Testada.</t>
  </si>
  <si>
    <t>Metamorfose Ambulante</t>
  </si>
  <si>
    <t>Pontua por categoria diferente.</t>
  </si>
  <si>
    <t>3 pontos por cada categoria repetida uma vez ou 5 pontos por cada categoria repetida 3 vezes.</t>
  </si>
  <si>
    <t>1 ponto caso o gato tenha apenas duas categorias diferentes, 3 pontos se tiver três categorias diferentes, 7 pontos se tiver quatro categorias diferentes, 10 pontos se tiver cinco categorias diferentes.</t>
  </si>
  <si>
    <t>1G</t>
  </si>
  <si>
    <t>2G</t>
  </si>
  <si>
    <t>1C</t>
  </si>
  <si>
    <t>Três Irmãos</t>
  </si>
  <si>
    <t>Conjunto</t>
  </si>
  <si>
    <t>Pontua caso o jogador tenha todos os gatos com a mesma origem.</t>
  </si>
  <si>
    <t>Origem</t>
  </si>
  <si>
    <t>Todos os atributos de Origem.</t>
  </si>
  <si>
    <t>Todos os três gatos.</t>
  </si>
  <si>
    <t>10 pontos caso todos os três gatos do jogador compartilhem o mesmo atributo de origem.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</si>
  <si>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</si>
  <si>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</si>
  <si>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</si>
  <si>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</si>
  <si>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</si>
  <si>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</si>
  <si>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</si>
  <si>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</si>
  <si>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</si>
  <si>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11C</t>
  </si>
  <si>
    <t>Mesma Tribo</t>
  </si>
  <si>
    <t>Pontua caso o jogador tenha todos os gatos com a mesma vibe.</t>
  </si>
  <si>
    <t>Vibe</t>
  </si>
  <si>
    <t>Paleta</t>
  </si>
  <si>
    <t>Tema</t>
  </si>
  <si>
    <t>Celebração</t>
  </si>
  <si>
    <t>Todos os atributos de Vibe.</t>
  </si>
  <si>
    <t>10 pontos caso todos os três gatos do jogador compartilhem o mesmo atributo de vibe.</t>
  </si>
  <si>
    <t>Figurinha Repetida</t>
  </si>
  <si>
    <t>Pontua caso o jogador tenha todos os gatos com o mesmo tema.</t>
  </si>
  <si>
    <t>Todos os atributos de Tema.</t>
  </si>
  <si>
    <t>10 pontos caso todos os três gatos do jogador compartilhem o mesmo atributo de tema.</t>
  </si>
  <si>
    <t>Paleta Perfeita</t>
  </si>
  <si>
    <t>Pontua caso o jogador tenha todos os gatos com a mesma paleta.</t>
  </si>
  <si>
    <t>Todos os atribulos de Paleta.</t>
  </si>
  <si>
    <t>10 pontos caso todos os três gatos do jogador compartilhem o mesmo atributo de paleta.</t>
  </si>
  <si>
    <t>Épóca Favorita</t>
  </si>
  <si>
    <t>Pontua caso o jogador tenha todos os catos com a mesma celebração.</t>
  </si>
  <si>
    <t>Todos os atributos de Celebração.</t>
  </si>
  <si>
    <t>10 pontos caso todos os três gatos do jogador compartilhem o mesmo atributo de celebração.</t>
  </si>
  <si>
    <t>Ano Todo</t>
  </si>
  <si>
    <t>Não.</t>
  </si>
  <si>
    <t>10 pontos caso todos os três gatos do jogador possuam a categoria celebração e os seus atributos atributos sejam celebrações que acontecem em ordem no ano. Exemplo: Carnaval, Páscoa e Festa Junina. Ou Páscoa, Festa Junina e Halloween. Ou Festa Junina, Halloween e Natal. Etc.</t>
  </si>
  <si>
    <t>Trio Combinandinho</t>
  </si>
  <si>
    <t>Pontua caso todos os gatos do jogador tenham o mesmo atributo em duas categorias.</t>
  </si>
  <si>
    <t>Nenhum.</t>
  </si>
  <si>
    <t>10 pontos caso todos os três gatos do jogador compartilhem o mesmo atributo em pelo menos duas categorias.</t>
  </si>
  <si>
    <t>Todos os Sabores</t>
  </si>
  <si>
    <t>Pontua caso nenhum atributo se repita em nenhum dos três gatos do jogador.</t>
  </si>
  <si>
    <t>Os coringas contam como todos os atributos, ou seja, como repetições.</t>
  </si>
  <si>
    <t>10 pontos caso nenhum dos três gatos do jogador tenham um atributo repetido.</t>
  </si>
  <si>
    <t>Trio de Gala</t>
  </si>
  <si>
    <t>Pontua caso todos os gatos do jogador tenham apenas as cores Branco, Preto ou Cinza em sua ilustração final.</t>
  </si>
  <si>
    <t>10 pontos caso os três gatos do jogador apenas tenham as cores branco, preto ou cinza em sua ilustração final após a montagem deles em camadas.</t>
  </si>
  <si>
    <t>Não testada.</t>
  </si>
  <si>
    <t>Fadas Madrinhas</t>
  </si>
  <si>
    <t>Pontua caso os três gatos do jogador sejam um da cor rosa, um da cor azul e um da cor verde.</t>
  </si>
  <si>
    <t>10 pontos caso os três gatos do jogador sejam majoritariamente, um da cor rosa, um da cor azul e um da cor verde.</t>
  </si>
  <si>
    <t>12C</t>
  </si>
  <si>
    <t>Padrinhos Mágicos</t>
  </si>
  <si>
    <t>Pontua caso os três gatos do jogador sejam um da cor rosa, um da cor roxa e um da cor verde.</t>
  </si>
  <si>
    <t>10 pontos caso os três gatos do jogador sejam majoritariamente, um da cor rosa, um da cor roxa e um da cor verde.</t>
  </si>
  <si>
    <t>Trio Lendário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</si>
  <si>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</si>
  <si>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</si>
  <si>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</si>
  <si>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</si>
  <si>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</si>
  <si>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</si>
  <si>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</si>
  <si>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</si>
  <si>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</si>
  <si>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</si>
  <si>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</si>
  <si>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</si>
  <si>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Aprendiz de Cthulhu</t>
  </si>
  <si>
    <t>Trending</t>
  </si>
  <si>
    <t>Cósmico</t>
  </si>
  <si>
    <t>Terror</t>
  </si>
  <si>
    <t>Um gato.</t>
  </si>
  <si>
    <t>3 pontos caso o gato montado apresente essa combinação específica após a colocação da camada 3.</t>
  </si>
  <si>
    <t>Pontuação máxima da carta é 3. Após cumprida o jogador deve pegá-la para si. E revelar a trend escondida sob essa.</t>
  </si>
  <si>
    <t>Pontua caso o jogador forme um gato com a combinação específica: Romântico e Mágico.</t>
  </si>
  <si>
    <t>Pontua caso o jogador forme um gato com a combinação específica: Terror e Cósmico.</t>
  </si>
  <si>
    <t>Mágico</t>
  </si>
  <si>
    <t>Romântico</t>
  </si>
  <si>
    <t>Poção do Amor</t>
  </si>
  <si>
    <t>Mini Influencer</t>
  </si>
  <si>
    <t>Pontua caso o jogador forme um gato com a combinação específica: Infantil e Pastel.</t>
  </si>
  <si>
    <t>Infantil</t>
  </si>
  <si>
    <t>Pastel</t>
  </si>
  <si>
    <t>Minimalismo Elegante</t>
  </si>
  <si>
    <t>Pontua caso o jogador forme um gato com a combinação específica: Neutro e Elegante.</t>
  </si>
  <si>
    <t>Elegante</t>
  </si>
  <si>
    <t>Neutro</t>
  </si>
  <si>
    <t>Espírito Natalino</t>
  </si>
  <si>
    <t>Pontua caso o jogador forme um gato com a combinação específica: Romântico e Natal.</t>
  </si>
  <si>
    <t>Natal</t>
  </si>
  <si>
    <t>Bloquinho Bigodes</t>
  </si>
  <si>
    <t>Pontua caso o jogador forme um gato com a combinação específica: Carnaval e Vibrante.</t>
  </si>
  <si>
    <t>Vibrante</t>
  </si>
  <si>
    <t>Carnaval</t>
  </si>
  <si>
    <t>Culto da Abóbora</t>
  </si>
  <si>
    <t>Halloween</t>
  </si>
  <si>
    <t>Mitológico</t>
  </si>
  <si>
    <t>Pontua caso o jogador forme um gato com a combinação específica: Páscoa e Fofo.</t>
  </si>
  <si>
    <t>Pontua caso o jogador forme um gato com a combinação específica: Halloween e Mitológico.</t>
  </si>
  <si>
    <t>Fofo</t>
  </si>
  <si>
    <t>Páscoa</t>
  </si>
  <si>
    <t>Gatinho da Páscoa</t>
  </si>
  <si>
    <t>Arraiá Felino</t>
  </si>
  <si>
    <t>Pontua caso o jogador forme um gato com a combinação específica: Festa Junina e Quente.</t>
  </si>
  <si>
    <t>Festa Junina</t>
  </si>
  <si>
    <t>Quente</t>
  </si>
  <si>
    <t>13T</t>
  </si>
  <si>
    <t>14T</t>
  </si>
  <si>
    <t>15T</t>
  </si>
  <si>
    <t>16T</t>
  </si>
  <si>
    <t>18T</t>
  </si>
  <si>
    <t>19T</t>
  </si>
  <si>
    <t>20T</t>
  </si>
  <si>
    <t>21T</t>
  </si>
  <si>
    <t>Não-testada.</t>
  </si>
  <si>
    <t>Netrunner Secreto</t>
  </si>
  <si>
    <t>Geek</t>
  </si>
  <si>
    <t>Frio</t>
  </si>
  <si>
    <t>Perdido no Tempo e Espaço</t>
  </si>
  <si>
    <t>Sombrio</t>
  </si>
  <si>
    <t>Episódio da Praia</t>
  </si>
  <si>
    <t>Pontua caso o jogador forme um gato com a combinação específica: Comédia e Quente.</t>
  </si>
  <si>
    <t>Pontua caso o jogador forme um gato com a combinação específica: Cósmico e Sombrio.</t>
  </si>
  <si>
    <t>Pontua caso o jogador forme um gato com a combinação específica: Geek e Frio.</t>
  </si>
  <si>
    <t>Comédia</t>
  </si>
  <si>
    <t>Miauscar</t>
  </si>
  <si>
    <t>Drama</t>
  </si>
  <si>
    <t>Chibi Neko</t>
  </si>
  <si>
    <t>Kawaii Neko</t>
  </si>
  <si>
    <t>Pontua caso o jogador forme um gato com a combinação específica: Fofo e Pastel.</t>
  </si>
  <si>
    <t>Pontua caso o jogador forme um gato com a combinação específica: Geek e Infantil.</t>
  </si>
  <si>
    <t>Pontua caso o jogador forme um gato com a combinação específica: Drama e Elegante.</t>
  </si>
  <si>
    <t>Especial de Halloween</t>
  </si>
  <si>
    <t>Pontua caso o jogador forme um gato com a combinação específica:  Halloween e Terror.</t>
  </si>
  <si>
    <t>Pontua caso o jogador forme um gato com a combinação específica: Páscoa e Sci-fi.</t>
  </si>
  <si>
    <t>Gatoelho do Futuro</t>
  </si>
  <si>
    <t>Sci-fi</t>
  </si>
  <si>
    <t>Inverno nas Estrelas</t>
  </si>
  <si>
    <t>Pontua caso o jogador forme um gato com a combinação específica: Natal e Sci-fi.</t>
  </si>
  <si>
    <t>MiniZoo</t>
  </si>
  <si>
    <t>Pontua caso o jogador forme um gato com a combinação específica: Infantil e Natural.</t>
  </si>
  <si>
    <t>Natural</t>
  </si>
  <si>
    <t>22T</t>
  </si>
  <si>
    <t>23T</t>
  </si>
  <si>
    <t>24T</t>
  </si>
  <si>
    <t>25T</t>
  </si>
  <si>
    <t>Carmiauvalesco</t>
  </si>
  <si>
    <t>Só Uma Coberta</t>
  </si>
  <si>
    <t>Olha a Cobra</t>
  </si>
  <si>
    <t>Praise the Sun</t>
  </si>
  <si>
    <t>Pontua caso o jogador forme um gato com a combinação específica: Carnaval e Comédia.</t>
  </si>
  <si>
    <t>Pontua caso o jogador forme um gato com a combinação específica: Mitológico e Quente.</t>
  </si>
  <si>
    <t>Pontua caso o jogador forme um gato com a combinação específica: Romântico e Frio.</t>
  </si>
  <si>
    <t>Pontua caso o jogador forme um gato com a combinação específica: Festa Junina e Selvagem.</t>
  </si>
  <si>
    <t>Categorias</t>
  </si>
  <si>
    <t>Atributos</t>
  </si>
  <si>
    <t>Usos</t>
  </si>
  <si>
    <t>Selvagem</t>
  </si>
  <si>
    <t>26T</t>
  </si>
  <si>
    <t>27T</t>
  </si>
  <si>
    <t>28T</t>
  </si>
  <si>
    <t>29T</t>
  </si>
  <si>
    <t>30T</t>
  </si>
  <si>
    <t>Novela das Seis</t>
  </si>
  <si>
    <t>Pontua caso o jogador forme um gato com a combinação específica: Drama e Vibrante.</t>
  </si>
  <si>
    <t>Miado do Abismo</t>
  </si>
  <si>
    <t>Olho do Gato</t>
  </si>
  <si>
    <t>Pontua caso o jogador forme um gato com a combinação específica: Natural e Selvagem.</t>
  </si>
  <si>
    <t>Magia Ancestral</t>
  </si>
  <si>
    <t>Pontua caso o jogador forme um gato com a combinação específica: Mágico e Neutro.</t>
  </si>
  <si>
    <t>Pontua caso o jogador forme um gato com a combinação específica: Mágico e Sombrio.</t>
  </si>
  <si>
    <t>Pontua caso todos os gatos do jogador tenham a categoria celebração e elas sejam diferentes e em ordem de acontecimento.</t>
  </si>
  <si>
    <t>13C</t>
  </si>
  <si>
    <t>Eu sou o Avatar</t>
  </si>
  <si>
    <t>Pontua caso os três gatos do jogador tenham 5 categorias.</t>
  </si>
  <si>
    <t>10 pontos caso os três gatos do jogador possuam as 5 categorias.</t>
  </si>
  <si>
    <t>14C</t>
  </si>
  <si>
    <t>15C</t>
  </si>
  <si>
    <t>16C</t>
  </si>
  <si>
    <t>17C</t>
  </si>
  <si>
    <t>18C</t>
  </si>
  <si>
    <t>19C</t>
  </si>
  <si>
    <t>20C</t>
  </si>
  <si>
    <t>Gradiente</t>
  </si>
  <si>
    <t>Pontua caso os três gatos do jogador tenham a categoria paleta e seus atributos sejam diferentes, formando um degradê entre as cores.</t>
  </si>
  <si>
    <t>Todos os atributos de Paleta.</t>
  </si>
  <si>
    <t>10 pontos caso os três gatos do jogador possuam a categoria paleta e os ses atributos formem um degradê, por exemplo: De Neutro, Pastel e Vibrante. Ou Frio, Neutro e Quente. Ou Pastel, Vibrante e Quente (ou Frio), dependendo de onde começou os tons pastéis.</t>
  </si>
  <si>
    <t>Maratona de Domingo</t>
  </si>
  <si>
    <t>10 pontos caso os três gatos do jogador possuam a categoria tema e os seus atributos sejam: Infantil, Comédia e Sci-fi. Ou Comédia, Sci-fi e Drama. Ou Sci-fi, Drama e Terror.</t>
  </si>
  <si>
    <t>Montanha-Russa de Emoções</t>
  </si>
  <si>
    <t>Pontua caso os três gatos do jogador tenham a categoria Vibe e seus atributos sejam diferentes, porém, o mais diversos possíveis.</t>
  </si>
  <si>
    <t>10 pontos caso os três gatos do jogador possuam a categoria vibe e seus atributos sejam vibes o mais diversas possível, por exemplo: Romântico, Selvagem e Sombrio. Ou Fofo, Selvagem e Elegante. Ou Elegante, Sombrio e Romântico.</t>
  </si>
  <si>
    <t>Portal Interdimensional</t>
  </si>
  <si>
    <t>Pontua caso os três gatos do jogador tenham a categoria Origem e seus atributos sejam diferentes, porém, com uma progressão natural de surgimento.</t>
  </si>
  <si>
    <t>10 pontos caso os três gatos do jogador possuam a categoria origem e seus atributos sejam diferentes, porém, apresentem uma progressão de surgimento e popularidade, exemplo: Natural, Geek e Mágico. Ou Geek, Mágico e Mitológico. Ou Mágico, Mitológico e Cósmico.</t>
  </si>
  <si>
    <t>Join Party</t>
  </si>
  <si>
    <t>Pontua caso os três gatos do jogador tenham a categoria Vibe e sejam um deles Fofo, um Selvagem e um Sombrio.</t>
  </si>
  <si>
    <t>Frio, Quente e Vibrante.</t>
  </si>
  <si>
    <t>Fofo, Selvagem e Sombrio.</t>
  </si>
  <si>
    <t>10 pontos caso os três gatos do jogador tenham a categoria paleta e sejam, um deles de paleta fria, um deles de paleta quente e um deles de paleta vibrante.</t>
  </si>
  <si>
    <t>10 pontos caso todos os três gatos do jogador possuam a categoria vibee sejam, um deles de vibe Fofo, um Selvagem e um Sombrio.</t>
  </si>
  <si>
    <t>Magical Girl</t>
  </si>
  <si>
    <t>Monocromia</t>
  </si>
  <si>
    <t>Pontua caso todos os gatos do jogador tenham a mesma cor dominante.</t>
  </si>
  <si>
    <t>10 pontos caso todos os gatos do jogador possuam a mesma cor dominante.</t>
  </si>
  <si>
    <t>Pontua caso os três gatos do jogador tenham a categoria Paleta e sejam, respectivamente, um Frio, um Quente e um Vibrante.</t>
  </si>
  <si>
    <t>Pontua caso os três gatos do jogador tenham a categoria Origem e sejam um deles Mágico, um Mitológico e um Cósmico.</t>
  </si>
  <si>
    <t>Mágico, Mitológico e Cósmico.</t>
  </si>
  <si>
    <t>10 pontos caso todos os três gatos do jogador tenham a categoria Origem e sejam um deles Mágico, um Mitológico e um Cósmico.</t>
  </si>
  <si>
    <t>21C</t>
  </si>
  <si>
    <t>22C</t>
  </si>
  <si>
    <t>Pontua caso os três gatos do jogador tenham a categoria tema e seus atributos sejam diferentes, porém, possíveis de ordenar por suas prováveis classificações etárias.</t>
  </si>
  <si>
    <t>Calendário BR</t>
  </si>
  <si>
    <t>Pontua caso os três gatos do jogador tenham a categoria celebração e seus atributos sejam Carnaval, Festa Junina e Natal.</t>
  </si>
  <si>
    <t>Carnaval, Festa Junina e Natal.</t>
  </si>
  <si>
    <t>10 pontos caso todos os três gatos do jogador tenham a categoria celebração e seus atributos sejam Carnaval, Festa Junina e Natal.</t>
  </si>
  <si>
    <t>Final Boss</t>
  </si>
  <si>
    <t>Pontua caso os três gatos do jogador tenham a categoria tema e seus atributos sejam Drama, Sci-fi e Terror.</t>
  </si>
  <si>
    <t>Drama, Sci-fi e Terror.</t>
  </si>
  <si>
    <t>10 pontos caso todos os três gatos do jogador tenham a categoria tema e seus atributos sejam Drama, Sci-fi e Terror.</t>
  </si>
  <si>
    <t>3G</t>
  </si>
  <si>
    <t>Narrativa Emergente</t>
  </si>
  <si>
    <t>Pontua se os gatos tiverem apenas as categorias Origem, Tema e Celebração.</t>
  </si>
  <si>
    <t>3 pontos por gato que se adequar à essa condição, porém, caso o jogador respeite a condição, ele ganha um ponto extra, ou seja, total de 10 pontos.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</si>
</sst>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5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  <dxf>
      <font>
        <color theme="4"/>
      </font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992F-789B-4941-9B31-4C1D90976977}">
  <dimension ref="A1:T21"/>
  <sheetViews>
    <sheetView workbookViewId="0">
      <selection activeCell="I21" sqref="I21"/>
    </sheetView>
  </sheetViews>
  <sheetFormatPr defaultColWidth="16.42578125" defaultRowHeight="15" x14ac:dyDescent="0.25"/>
  <cols>
    <col min="1" max="1" width="3.28515625" style="8" bestFit="1" customWidth="1"/>
    <col min="2" max="2" width="20.5703125" style="9" customWidth="1"/>
    <col min="3" max="3" width="8.28515625" style="9" customWidth="1"/>
    <col min="4" max="4" width="22.28515625" style="9" customWidth="1"/>
    <col min="5" max="9" width="16.42578125" style="9"/>
    <col min="10" max="10" width="49.42578125" style="9" customWidth="1"/>
    <col min="11" max="11" width="29" style="9" customWidth="1"/>
    <col min="12" max="16384" width="16.42578125" style="9"/>
  </cols>
  <sheetData>
    <row r="1" spans="1:20" ht="4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3"/>
      <c r="N1" s="3"/>
      <c r="O1" s="3"/>
      <c r="P1" s="3"/>
      <c r="Q1" s="3"/>
      <c r="R1" s="3"/>
      <c r="S1" s="3"/>
      <c r="T1" s="3"/>
    </row>
    <row r="2" spans="1:20" ht="30" x14ac:dyDescent="0.25">
      <c r="A2" s="13" t="s">
        <v>26</v>
      </c>
      <c r="B2" s="14" t="s">
        <v>12</v>
      </c>
      <c r="C2" s="14" t="s">
        <v>13</v>
      </c>
      <c r="D2" s="14" t="s">
        <v>14</v>
      </c>
      <c r="E2" s="14" t="s">
        <v>16</v>
      </c>
      <c r="F2" s="14" t="s">
        <v>15</v>
      </c>
      <c r="G2" s="14" t="s">
        <v>20</v>
      </c>
      <c r="H2" s="14" t="s">
        <v>17</v>
      </c>
      <c r="I2" s="14" t="s">
        <v>18</v>
      </c>
      <c r="J2" s="14" t="s">
        <v>24</v>
      </c>
      <c r="K2" s="14" t="s">
        <v>19</v>
      </c>
      <c r="L2" s="14" t="s">
        <v>21</v>
      </c>
    </row>
    <row r="3" spans="1:20" s="4" customFormat="1" ht="60" x14ac:dyDescent="0.25">
      <c r="A3" s="13" t="s">
        <v>27</v>
      </c>
      <c r="B3" s="14" t="s">
        <v>22</v>
      </c>
      <c r="C3" s="14" t="s">
        <v>13</v>
      </c>
      <c r="D3" s="14" t="s">
        <v>23</v>
      </c>
      <c r="E3" s="14" t="s">
        <v>16</v>
      </c>
      <c r="F3" s="14" t="s">
        <v>15</v>
      </c>
      <c r="G3" s="14" t="s">
        <v>20</v>
      </c>
      <c r="H3" s="14" t="s">
        <v>17</v>
      </c>
      <c r="I3" s="14" t="s">
        <v>18</v>
      </c>
      <c r="J3" s="14" t="s">
        <v>25</v>
      </c>
      <c r="K3" s="14" t="s">
        <v>19</v>
      </c>
      <c r="L3" s="14" t="s">
        <v>21</v>
      </c>
      <c r="Q3" s="5"/>
    </row>
    <row r="4" spans="1:20" x14ac:dyDescent="0.25">
      <c r="A4" s="16" t="s">
        <v>254</v>
      </c>
      <c r="B4" s="17" t="s">
        <v>255</v>
      </c>
      <c r="C4" s="17" t="s">
        <v>13</v>
      </c>
      <c r="D4" s="17" t="s">
        <v>256</v>
      </c>
      <c r="E4" s="14" t="s">
        <v>32</v>
      </c>
      <c r="F4" s="17" t="s">
        <v>15</v>
      </c>
      <c r="G4" s="17" t="s">
        <v>20</v>
      </c>
      <c r="H4" s="17" t="s">
        <v>17</v>
      </c>
      <c r="I4" s="17" t="s">
        <v>18</v>
      </c>
      <c r="J4" s="17" t="s">
        <v>257</v>
      </c>
      <c r="K4" s="17" t="s">
        <v>19</v>
      </c>
      <c r="L4" s="17" t="s">
        <v>80</v>
      </c>
    </row>
    <row r="5" spans="1:20" x14ac:dyDescent="0.25">
      <c r="A5" s="16"/>
      <c r="B5" s="17"/>
      <c r="C5" s="17"/>
      <c r="D5" s="17"/>
      <c r="E5" s="14" t="s">
        <v>50</v>
      </c>
      <c r="F5" s="17"/>
      <c r="G5" s="17"/>
      <c r="H5" s="17"/>
      <c r="I5" s="17"/>
      <c r="J5" s="17"/>
      <c r="K5" s="17"/>
      <c r="L5" s="17"/>
    </row>
    <row r="6" spans="1:20" x14ac:dyDescent="0.25">
      <c r="A6" s="16"/>
      <c r="B6" s="17"/>
      <c r="C6" s="17"/>
      <c r="D6" s="17"/>
      <c r="E6" s="14" t="s">
        <v>51</v>
      </c>
      <c r="F6" s="17"/>
      <c r="G6" s="17"/>
      <c r="H6" s="17"/>
      <c r="I6" s="17"/>
      <c r="J6" s="17"/>
      <c r="K6" s="17"/>
      <c r="L6" s="17"/>
    </row>
    <row r="12" spans="1:20" x14ac:dyDescent="0.25">
      <c r="E12" s="7"/>
    </row>
    <row r="21" spans="9:9" x14ac:dyDescent="0.25">
      <c r="I21" s="7"/>
    </row>
  </sheetData>
  <mergeCells count="11">
    <mergeCell ref="K4:K6"/>
    <mergeCell ref="L4:L6"/>
    <mergeCell ref="A4:A6"/>
    <mergeCell ref="B4:B6"/>
    <mergeCell ref="C4:C6"/>
    <mergeCell ref="D4:D6"/>
    <mergeCell ref="F4:F6"/>
    <mergeCell ref="G4:G6"/>
    <mergeCell ref="H4:H6"/>
    <mergeCell ref="I4:I6"/>
    <mergeCell ref="J4:J6"/>
  </mergeCells>
  <conditionalFormatting sqref="A1:XFD3 A7:XFD1048576 M5:XFD6 A4:D4 F4:XFD4">
    <cfRule type="cellIs" dxfId="47" priority="13" operator="equal">
      <formula>"Vibe"</formula>
    </cfRule>
    <cfRule type="cellIs" dxfId="46" priority="14" operator="equal">
      <formula>"Celebração"</formula>
    </cfRule>
    <cfRule type="cellIs" dxfId="45" priority="15" operator="equal">
      <formula>"Tema"</formula>
    </cfRule>
    <cfRule type="cellIs" dxfId="44" priority="16" operator="equal">
      <formula>"Paleta"</formula>
    </cfRule>
    <cfRule type="cellIs" dxfId="43" priority="17" operator="equal">
      <formula>"Origem"</formula>
    </cfRule>
  </conditionalFormatting>
  <conditionalFormatting sqref="E4:E5">
    <cfRule type="cellIs" dxfId="12" priority="8" operator="equal">
      <formula>"Vibe"</formula>
    </cfRule>
    <cfRule type="cellIs" dxfId="11" priority="9" operator="equal">
      <formula>"Celebração"</formula>
    </cfRule>
    <cfRule type="cellIs" dxfId="10" priority="10" operator="equal">
      <formula>"Tema"</formula>
    </cfRule>
    <cfRule type="cellIs" dxfId="9" priority="11" operator="equal">
      <formula>"Paleta"</formula>
    </cfRule>
    <cfRule type="cellIs" dxfId="8" priority="12" operator="equal">
      <formula>"Origem"</formula>
    </cfRule>
  </conditionalFormatting>
  <conditionalFormatting sqref="E6">
    <cfRule type="cellIs" dxfId="7" priority="3" operator="equal">
      <formula>"Vibe"</formula>
    </cfRule>
    <cfRule type="cellIs" dxfId="6" priority="4" operator="equal">
      <formula>"Celebração"</formula>
    </cfRule>
    <cfRule type="cellIs" dxfId="5" priority="5" operator="equal">
      <formula>"Tema"</formula>
    </cfRule>
    <cfRule type="cellIs" dxfId="4" priority="6" operator="equal">
      <formula>"Paleta"</formula>
    </cfRule>
    <cfRule type="cellIs" dxfId="3" priority="7" operator="equal">
      <formula>"Origem"</formula>
    </cfRule>
  </conditionalFormatting>
  <conditionalFormatting sqref="L1:L1048576">
    <cfRule type="beginsWith" dxfId="2" priority="2" operator="beginsWith" text="Testada">
      <formula>LEFT(L1,LEN("Testada"))="Testada"</formula>
    </cfRule>
    <cfRule type="beginsWith" dxfId="1" priority="1" operator="beginsWith" text="Não">
      <formula>LEFT(L1,LEN("Não"))="Não"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6FD5-0CEF-4D88-A8AD-1A4B8E6212E6}">
  <dimension ref="A1:T88"/>
  <sheetViews>
    <sheetView topLeftCell="A16" workbookViewId="0">
      <selection activeCell="L24" sqref="L24"/>
    </sheetView>
  </sheetViews>
  <sheetFormatPr defaultColWidth="9.140625" defaultRowHeight="15" x14ac:dyDescent="0.25"/>
  <cols>
    <col min="1" max="1" width="4.28515625" style="8" bestFit="1" customWidth="1"/>
    <col min="2" max="2" width="19.42578125" style="9" customWidth="1"/>
    <col min="3" max="3" width="9.28515625" style="9" customWidth="1"/>
    <col min="4" max="4" width="38.42578125" style="9" customWidth="1"/>
    <col min="5" max="5" width="15.42578125" style="9" customWidth="1"/>
    <col min="6" max="6" width="18.140625" style="9" customWidth="1"/>
    <col min="7" max="7" width="15.7109375" style="9" customWidth="1"/>
    <col min="8" max="9" width="16.5703125" style="9" customWidth="1"/>
    <col min="10" max="10" width="39.28515625" style="9" customWidth="1"/>
    <col min="11" max="11" width="25.85546875" style="9" customWidth="1"/>
    <col min="12" max="12" width="11" style="9" bestFit="1" customWidth="1"/>
    <col min="13" max="13" width="12" style="9" bestFit="1" customWidth="1"/>
    <col min="14" max="14" width="5.42578125" style="9" bestFit="1" customWidth="1"/>
    <col min="15" max="15" width="9.140625" style="9"/>
    <col min="16" max="16" width="14" style="9" bestFit="1" customWidth="1"/>
    <col min="17" max="17" width="2.140625" style="9" bestFit="1" customWidth="1"/>
    <col min="18" max="18" width="11.140625" style="9" bestFit="1" customWidth="1"/>
    <col min="19" max="16384" width="9.140625" style="9"/>
  </cols>
  <sheetData>
    <row r="1" spans="1:20" ht="4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3"/>
      <c r="N1" s="3"/>
      <c r="O1" s="3"/>
      <c r="P1" s="3"/>
      <c r="Q1" s="3"/>
      <c r="R1" s="3"/>
      <c r="S1" s="3"/>
      <c r="T1" s="3"/>
    </row>
    <row r="2" spans="1:20" ht="45" x14ac:dyDescent="0.25">
      <c r="A2" s="13" t="s">
        <v>28</v>
      </c>
      <c r="B2" s="14" t="s">
        <v>29</v>
      </c>
      <c r="C2" s="14" t="s">
        <v>30</v>
      </c>
      <c r="D2" s="14" t="s">
        <v>31</v>
      </c>
      <c r="E2" s="14" t="s">
        <v>32</v>
      </c>
      <c r="F2" s="14" t="s">
        <v>33</v>
      </c>
      <c r="G2" s="14" t="s">
        <v>34</v>
      </c>
      <c r="H2" s="14" t="s">
        <v>17</v>
      </c>
      <c r="I2" s="14" t="s">
        <v>18</v>
      </c>
      <c r="J2" s="14" t="s">
        <v>35</v>
      </c>
      <c r="K2" s="14" t="s">
        <v>19</v>
      </c>
      <c r="L2" s="14" t="s">
        <v>21</v>
      </c>
    </row>
    <row r="3" spans="1:20" s="4" customFormat="1" ht="45" x14ac:dyDescent="0.25">
      <c r="A3" s="13" t="s">
        <v>36</v>
      </c>
      <c r="B3" s="14" t="s">
        <v>46</v>
      </c>
      <c r="C3" s="14" t="s">
        <v>30</v>
      </c>
      <c r="D3" s="14" t="s">
        <v>47</v>
      </c>
      <c r="E3" s="14" t="s">
        <v>48</v>
      </c>
      <c r="F3" s="14" t="s">
        <v>52</v>
      </c>
      <c r="G3" s="14" t="s">
        <v>34</v>
      </c>
      <c r="H3" s="14" t="s">
        <v>17</v>
      </c>
      <c r="I3" s="14" t="s">
        <v>18</v>
      </c>
      <c r="J3" s="14" t="s">
        <v>53</v>
      </c>
      <c r="K3" s="14" t="s">
        <v>19</v>
      </c>
      <c r="L3" s="14" t="s">
        <v>21</v>
      </c>
      <c r="Q3" s="5"/>
    </row>
    <row r="4" spans="1:20" ht="45" x14ac:dyDescent="0.25">
      <c r="A4" s="13" t="s">
        <v>37</v>
      </c>
      <c r="B4" s="14" t="s">
        <v>54</v>
      </c>
      <c r="C4" s="14" t="s">
        <v>30</v>
      </c>
      <c r="D4" s="14" t="s">
        <v>55</v>
      </c>
      <c r="E4" s="14" t="s">
        <v>50</v>
      </c>
      <c r="F4" s="14" t="s">
        <v>56</v>
      </c>
      <c r="G4" s="14" t="s">
        <v>34</v>
      </c>
      <c r="H4" s="14" t="s">
        <v>17</v>
      </c>
      <c r="I4" s="14" t="s">
        <v>18</v>
      </c>
      <c r="J4" s="14" t="s">
        <v>57</v>
      </c>
      <c r="K4" s="14" t="s">
        <v>19</v>
      </c>
      <c r="L4" s="14" t="s">
        <v>21</v>
      </c>
    </row>
    <row r="5" spans="1:20" ht="45" x14ac:dyDescent="0.25">
      <c r="A5" s="13" t="s">
        <v>38</v>
      </c>
      <c r="B5" s="14" t="s">
        <v>58</v>
      </c>
      <c r="C5" s="14" t="s">
        <v>30</v>
      </c>
      <c r="D5" s="14" t="s">
        <v>59</v>
      </c>
      <c r="E5" s="14" t="s">
        <v>49</v>
      </c>
      <c r="F5" s="14" t="s">
        <v>60</v>
      </c>
      <c r="G5" s="14" t="s">
        <v>34</v>
      </c>
      <c r="H5" s="14" t="s">
        <v>17</v>
      </c>
      <c r="I5" s="14" t="s">
        <v>18</v>
      </c>
      <c r="J5" s="14" t="s">
        <v>61</v>
      </c>
      <c r="K5" s="14" t="s">
        <v>19</v>
      </c>
      <c r="L5" s="14" t="s">
        <v>21</v>
      </c>
    </row>
    <row r="6" spans="1:20" ht="45" x14ac:dyDescent="0.25">
      <c r="A6" s="13" t="s">
        <v>39</v>
      </c>
      <c r="B6" s="14" t="s">
        <v>62</v>
      </c>
      <c r="C6" s="14" t="s">
        <v>30</v>
      </c>
      <c r="D6" s="14" t="s">
        <v>63</v>
      </c>
      <c r="E6" s="14" t="s">
        <v>51</v>
      </c>
      <c r="F6" s="14" t="s">
        <v>64</v>
      </c>
      <c r="G6" s="14" t="s">
        <v>34</v>
      </c>
      <c r="H6" s="14" t="s">
        <v>17</v>
      </c>
      <c r="I6" s="14" t="s">
        <v>18</v>
      </c>
      <c r="J6" s="14" t="s">
        <v>65</v>
      </c>
      <c r="K6" s="14" t="s">
        <v>19</v>
      </c>
      <c r="L6" s="14" t="s">
        <v>21</v>
      </c>
    </row>
    <row r="7" spans="1:20" ht="45" x14ac:dyDescent="0.25">
      <c r="A7" s="13" t="s">
        <v>40</v>
      </c>
      <c r="B7" s="14" t="s">
        <v>69</v>
      </c>
      <c r="C7" s="14" t="s">
        <v>30</v>
      </c>
      <c r="D7" s="14" t="s">
        <v>70</v>
      </c>
      <c r="E7" s="14" t="s">
        <v>16</v>
      </c>
      <c r="F7" s="14" t="s">
        <v>71</v>
      </c>
      <c r="G7" s="14" t="s">
        <v>34</v>
      </c>
      <c r="H7" s="14" t="s">
        <v>17</v>
      </c>
      <c r="I7" s="14" t="s">
        <v>18</v>
      </c>
      <c r="J7" s="14" t="s">
        <v>72</v>
      </c>
      <c r="K7" s="14" t="s">
        <v>19</v>
      </c>
      <c r="L7" s="14" t="s">
        <v>21</v>
      </c>
    </row>
    <row r="8" spans="1:20" ht="90" x14ac:dyDescent="0.25">
      <c r="A8" s="13" t="s">
        <v>41</v>
      </c>
      <c r="B8" s="14" t="s">
        <v>73</v>
      </c>
      <c r="C8" s="14" t="s">
        <v>30</v>
      </c>
      <c r="D8" s="14" t="s">
        <v>74</v>
      </c>
      <c r="E8" s="14" t="s">
        <v>16</v>
      </c>
      <c r="F8" s="14" t="s">
        <v>71</v>
      </c>
      <c r="G8" s="14" t="s">
        <v>34</v>
      </c>
      <c r="H8" s="14" t="s">
        <v>67</v>
      </c>
      <c r="I8" s="14" t="s">
        <v>75</v>
      </c>
      <c r="J8" s="14" t="s">
        <v>76</v>
      </c>
      <c r="K8" s="14" t="s">
        <v>19</v>
      </c>
      <c r="L8" s="14" t="s">
        <v>21</v>
      </c>
    </row>
    <row r="9" spans="1:20" ht="30" x14ac:dyDescent="0.25">
      <c r="A9" s="13" t="s">
        <v>42</v>
      </c>
      <c r="B9" s="14" t="s">
        <v>207</v>
      </c>
      <c r="C9" s="14" t="s">
        <v>30</v>
      </c>
      <c r="D9" s="14" t="s">
        <v>208</v>
      </c>
      <c r="E9" s="14" t="s">
        <v>16</v>
      </c>
      <c r="F9" s="14" t="s">
        <v>71</v>
      </c>
      <c r="G9" s="14" t="s">
        <v>34</v>
      </c>
      <c r="H9" s="14" t="s">
        <v>17</v>
      </c>
      <c r="I9" s="14" t="s">
        <v>18</v>
      </c>
      <c r="J9" s="14" t="s">
        <v>209</v>
      </c>
      <c r="K9" s="14" t="s">
        <v>19</v>
      </c>
      <c r="L9" s="14" t="s">
        <v>80</v>
      </c>
    </row>
    <row r="10" spans="1:20" ht="120" x14ac:dyDescent="0.25">
      <c r="A10" s="13" t="s">
        <v>43</v>
      </c>
      <c r="B10" s="14" t="s">
        <v>66</v>
      </c>
      <c r="C10" s="14" t="s">
        <v>30</v>
      </c>
      <c r="D10" s="14" t="s">
        <v>205</v>
      </c>
      <c r="E10" s="14" t="s">
        <v>51</v>
      </c>
      <c r="F10" s="14" t="s">
        <v>64</v>
      </c>
      <c r="G10" s="14" t="s">
        <v>34</v>
      </c>
      <c r="H10" s="14" t="s">
        <v>67</v>
      </c>
      <c r="I10" s="14" t="s">
        <v>75</v>
      </c>
      <c r="J10" s="14" t="s">
        <v>68</v>
      </c>
      <c r="K10" s="14" t="s">
        <v>19</v>
      </c>
      <c r="L10" s="14" t="s">
        <v>21</v>
      </c>
    </row>
    <row r="11" spans="1:20" ht="90" x14ac:dyDescent="0.25">
      <c r="A11" s="13" t="s">
        <v>44</v>
      </c>
      <c r="B11" s="14" t="s">
        <v>221</v>
      </c>
      <c r="C11" s="14" t="s">
        <v>30</v>
      </c>
      <c r="D11" s="14" t="s">
        <v>245</v>
      </c>
      <c r="E11" s="14" t="s">
        <v>50</v>
      </c>
      <c r="F11" s="14" t="s">
        <v>56</v>
      </c>
      <c r="G11" s="14" t="s">
        <v>34</v>
      </c>
      <c r="H11" s="14" t="s">
        <v>67</v>
      </c>
      <c r="I11" s="14" t="s">
        <v>75</v>
      </c>
      <c r="J11" s="14" t="s">
        <v>222</v>
      </c>
      <c r="K11" s="14" t="s">
        <v>19</v>
      </c>
      <c r="L11" s="14" t="s">
        <v>80</v>
      </c>
    </row>
    <row r="12" spans="1:20" ht="105" x14ac:dyDescent="0.25">
      <c r="A12" s="13" t="s">
        <v>45</v>
      </c>
      <c r="B12" s="14" t="s">
        <v>217</v>
      </c>
      <c r="C12" s="14" t="s">
        <v>30</v>
      </c>
      <c r="D12" s="14" t="s">
        <v>218</v>
      </c>
      <c r="E12" s="14" t="s">
        <v>49</v>
      </c>
      <c r="F12" s="14" t="s">
        <v>219</v>
      </c>
      <c r="G12" s="14" t="s">
        <v>34</v>
      </c>
      <c r="H12" s="14" t="s">
        <v>67</v>
      </c>
      <c r="I12" s="14" t="s">
        <v>75</v>
      </c>
      <c r="J12" s="14" t="s">
        <v>220</v>
      </c>
      <c r="K12" s="14" t="s">
        <v>19</v>
      </c>
      <c r="L12" s="14" t="s">
        <v>80</v>
      </c>
    </row>
    <row r="13" spans="1:20" ht="90" x14ac:dyDescent="0.25">
      <c r="A13" s="13" t="s">
        <v>84</v>
      </c>
      <c r="B13" s="14" t="s">
        <v>223</v>
      </c>
      <c r="C13" s="14" t="s">
        <v>30</v>
      </c>
      <c r="D13" s="14" t="s">
        <v>224</v>
      </c>
      <c r="E13" s="14" t="s">
        <v>48</v>
      </c>
      <c r="F13" s="14" t="s">
        <v>52</v>
      </c>
      <c r="G13" s="14" t="s">
        <v>34</v>
      </c>
      <c r="H13" s="14" t="s">
        <v>67</v>
      </c>
      <c r="I13" s="14" t="s">
        <v>75</v>
      </c>
      <c r="J13" s="14" t="s">
        <v>225</v>
      </c>
      <c r="K13" s="14" t="s">
        <v>19</v>
      </c>
      <c r="L13" s="14" t="s">
        <v>80</v>
      </c>
    </row>
    <row r="14" spans="1:20" ht="120" x14ac:dyDescent="0.25">
      <c r="A14" s="13" t="s">
        <v>206</v>
      </c>
      <c r="B14" s="14" t="s">
        <v>226</v>
      </c>
      <c r="C14" s="14" t="s">
        <v>30</v>
      </c>
      <c r="D14" s="14" t="s">
        <v>227</v>
      </c>
      <c r="E14" s="14" t="s">
        <v>32</v>
      </c>
      <c r="F14" s="14" t="s">
        <v>33</v>
      </c>
      <c r="G14" s="14" t="s">
        <v>34</v>
      </c>
      <c r="H14" s="14" t="s">
        <v>67</v>
      </c>
      <c r="I14" s="14" t="s">
        <v>75</v>
      </c>
      <c r="J14" s="14" t="s">
        <v>228</v>
      </c>
      <c r="K14" s="14" t="s">
        <v>19</v>
      </c>
      <c r="L14" s="14" t="s">
        <v>80</v>
      </c>
    </row>
    <row r="15" spans="1:20" ht="30" x14ac:dyDescent="0.25">
      <c r="A15" s="13" t="s">
        <v>210</v>
      </c>
      <c r="B15" s="14" t="s">
        <v>236</v>
      </c>
      <c r="C15" s="14" t="s">
        <v>30</v>
      </c>
      <c r="D15" s="14" t="s">
        <v>237</v>
      </c>
      <c r="E15" s="14" t="s">
        <v>18</v>
      </c>
      <c r="F15" s="14" t="s">
        <v>71</v>
      </c>
      <c r="G15" s="14" t="s">
        <v>34</v>
      </c>
      <c r="H15" s="14" t="s">
        <v>17</v>
      </c>
      <c r="I15" s="14" t="s">
        <v>18</v>
      </c>
      <c r="J15" s="14" t="s">
        <v>238</v>
      </c>
      <c r="K15" s="14" t="s">
        <v>19</v>
      </c>
      <c r="L15" s="14" t="s">
        <v>80</v>
      </c>
    </row>
    <row r="16" spans="1:20" ht="60" x14ac:dyDescent="0.25">
      <c r="A16" s="13" t="s">
        <v>211</v>
      </c>
      <c r="B16" s="14" t="s">
        <v>77</v>
      </c>
      <c r="C16" s="14" t="s">
        <v>30</v>
      </c>
      <c r="D16" s="14" t="s">
        <v>78</v>
      </c>
      <c r="E16" s="14" t="s">
        <v>18</v>
      </c>
      <c r="F16" s="14" t="s">
        <v>71</v>
      </c>
      <c r="G16" s="14" t="s">
        <v>34</v>
      </c>
      <c r="H16" s="14" t="s">
        <v>17</v>
      </c>
      <c r="I16" s="14" t="s">
        <v>18</v>
      </c>
      <c r="J16" s="14" t="s">
        <v>79</v>
      </c>
      <c r="K16" s="14" t="s">
        <v>19</v>
      </c>
      <c r="L16" s="14" t="s">
        <v>80</v>
      </c>
    </row>
    <row r="17" spans="1:12" ht="45" x14ac:dyDescent="0.25">
      <c r="A17" s="13" t="s">
        <v>212</v>
      </c>
      <c r="B17" s="14" t="s">
        <v>81</v>
      </c>
      <c r="C17" s="14" t="s">
        <v>30</v>
      </c>
      <c r="D17" s="14" t="s">
        <v>82</v>
      </c>
      <c r="E17" s="14" t="s">
        <v>18</v>
      </c>
      <c r="F17" s="14" t="s">
        <v>71</v>
      </c>
      <c r="G17" s="14" t="s">
        <v>34</v>
      </c>
      <c r="H17" s="14" t="s">
        <v>17</v>
      </c>
      <c r="I17" s="14" t="s">
        <v>18</v>
      </c>
      <c r="J17" s="14" t="s">
        <v>83</v>
      </c>
      <c r="K17" s="14" t="s">
        <v>19</v>
      </c>
      <c r="L17" s="14" t="s">
        <v>80</v>
      </c>
    </row>
    <row r="18" spans="1:12" ht="45" x14ac:dyDescent="0.25">
      <c r="A18" s="13" t="s">
        <v>213</v>
      </c>
      <c r="B18" s="14" t="s">
        <v>85</v>
      </c>
      <c r="C18" s="14" t="s">
        <v>30</v>
      </c>
      <c r="D18" s="14" t="s">
        <v>86</v>
      </c>
      <c r="E18" s="14" t="s">
        <v>18</v>
      </c>
      <c r="F18" s="14" t="s">
        <v>71</v>
      </c>
      <c r="G18" s="14" t="s">
        <v>34</v>
      </c>
      <c r="H18" s="14" t="s">
        <v>17</v>
      </c>
      <c r="I18" s="14" t="s">
        <v>18</v>
      </c>
      <c r="J18" s="14" t="s">
        <v>87</v>
      </c>
      <c r="K18" s="14" t="s">
        <v>19</v>
      </c>
      <c r="L18" s="14" t="s">
        <v>80</v>
      </c>
    </row>
    <row r="19" spans="1:12" ht="60" x14ac:dyDescent="0.25">
      <c r="A19" s="13" t="s">
        <v>214</v>
      </c>
      <c r="B19" s="14" t="s">
        <v>88</v>
      </c>
      <c r="C19" s="14" t="s">
        <v>30</v>
      </c>
      <c r="D19" s="14" t="s">
        <v>239</v>
      </c>
      <c r="E19" s="14" t="s">
        <v>49</v>
      </c>
      <c r="F19" s="14" t="s">
        <v>231</v>
      </c>
      <c r="G19" s="14" t="s">
        <v>34</v>
      </c>
      <c r="H19" s="14" t="s">
        <v>17</v>
      </c>
      <c r="I19" s="14" t="s">
        <v>18</v>
      </c>
      <c r="J19" s="14" t="s">
        <v>233</v>
      </c>
      <c r="K19" s="14" t="s">
        <v>19</v>
      </c>
      <c r="L19" s="14" t="s">
        <v>80</v>
      </c>
    </row>
    <row r="20" spans="1:12" ht="60" x14ac:dyDescent="0.25">
      <c r="A20" s="13" t="s">
        <v>215</v>
      </c>
      <c r="B20" s="14" t="s">
        <v>229</v>
      </c>
      <c r="C20" s="14" t="s">
        <v>30</v>
      </c>
      <c r="D20" s="14" t="s">
        <v>230</v>
      </c>
      <c r="E20" s="14" t="s">
        <v>48</v>
      </c>
      <c r="F20" s="14" t="s">
        <v>232</v>
      </c>
      <c r="G20" s="14" t="s">
        <v>34</v>
      </c>
      <c r="H20" s="14" t="s">
        <v>17</v>
      </c>
      <c r="I20" s="14" t="s">
        <v>18</v>
      </c>
      <c r="J20" s="14" t="s">
        <v>234</v>
      </c>
      <c r="K20" s="14" t="s">
        <v>19</v>
      </c>
      <c r="L20" s="14" t="s">
        <v>80</v>
      </c>
    </row>
    <row r="21" spans="1:12" ht="60" x14ac:dyDescent="0.25">
      <c r="A21" s="13" t="s">
        <v>216</v>
      </c>
      <c r="B21" s="14" t="s">
        <v>235</v>
      </c>
      <c r="C21" s="14" t="s">
        <v>30</v>
      </c>
      <c r="D21" s="14" t="s">
        <v>240</v>
      </c>
      <c r="E21" s="14" t="s">
        <v>32</v>
      </c>
      <c r="F21" s="14" t="s">
        <v>241</v>
      </c>
      <c r="G21" s="14" t="s">
        <v>34</v>
      </c>
      <c r="H21" s="14" t="s">
        <v>17</v>
      </c>
      <c r="I21" s="14" t="s">
        <v>18</v>
      </c>
      <c r="J21" s="14" t="s">
        <v>242</v>
      </c>
      <c r="K21" s="14" t="s">
        <v>19</v>
      </c>
      <c r="L21" s="14" t="s">
        <v>80</v>
      </c>
    </row>
    <row r="22" spans="1:12" ht="60" x14ac:dyDescent="0.25">
      <c r="A22" s="13" t="s">
        <v>243</v>
      </c>
      <c r="B22" s="14" t="s">
        <v>246</v>
      </c>
      <c r="C22" s="14" t="s">
        <v>30</v>
      </c>
      <c r="D22" s="14" t="s">
        <v>247</v>
      </c>
      <c r="E22" s="14" t="s">
        <v>51</v>
      </c>
      <c r="F22" s="14" t="s">
        <v>248</v>
      </c>
      <c r="G22" s="14" t="s">
        <v>34</v>
      </c>
      <c r="H22" s="14" t="s">
        <v>17</v>
      </c>
      <c r="I22" s="14" t="s">
        <v>18</v>
      </c>
      <c r="J22" s="14" t="s">
        <v>249</v>
      </c>
      <c r="K22" s="14" t="s">
        <v>19</v>
      </c>
      <c r="L22" s="14" t="s">
        <v>80</v>
      </c>
    </row>
    <row r="23" spans="1:12" ht="45" x14ac:dyDescent="0.25">
      <c r="A23" s="13" t="s">
        <v>244</v>
      </c>
      <c r="B23" s="14" t="s">
        <v>250</v>
      </c>
      <c r="C23" s="14" t="s">
        <v>30</v>
      </c>
      <c r="D23" s="14" t="s">
        <v>251</v>
      </c>
      <c r="E23" s="14" t="s">
        <v>50</v>
      </c>
      <c r="F23" s="14" t="s">
        <v>252</v>
      </c>
      <c r="G23" s="14" t="s">
        <v>34</v>
      </c>
      <c r="H23" s="14" t="s">
        <v>17</v>
      </c>
      <c r="I23" s="14" t="s">
        <v>18</v>
      </c>
      <c r="J23" s="14" t="s">
        <v>253</v>
      </c>
      <c r="K23" s="14" t="s">
        <v>19</v>
      </c>
      <c r="L23" s="14" t="s">
        <v>80</v>
      </c>
    </row>
    <row r="24" spans="1:12" x14ac:dyDescent="0.25">
      <c r="A24" s="12"/>
    </row>
    <row r="36" spans="8:17" s="4" customFormat="1" ht="15.75" x14ac:dyDescent="0.25">
      <c r="Q36" s="5"/>
    </row>
    <row r="38" spans="8:17" x14ac:dyDescent="0.25">
      <c r="H38" s="10"/>
      <c r="L38" s="10"/>
    </row>
    <row r="39" spans="8:17" x14ac:dyDescent="0.25">
      <c r="H39" s="10"/>
      <c r="L39" s="10"/>
    </row>
    <row r="40" spans="8:17" x14ac:dyDescent="0.25">
      <c r="H40" s="10"/>
      <c r="L40" s="10"/>
    </row>
    <row r="41" spans="8:17" x14ac:dyDescent="0.25">
      <c r="H41" s="10"/>
      <c r="L41" s="10"/>
    </row>
    <row r="42" spans="8:17" x14ac:dyDescent="0.25">
      <c r="H42" s="10"/>
      <c r="L42" s="10"/>
    </row>
    <row r="44" spans="8:17" x14ac:dyDescent="0.25">
      <c r="H44" s="10"/>
      <c r="L44" s="10"/>
    </row>
    <row r="45" spans="8:17" x14ac:dyDescent="0.25">
      <c r="H45" s="10"/>
      <c r="L45" s="10"/>
    </row>
    <row r="46" spans="8:17" x14ac:dyDescent="0.25">
      <c r="H46" s="10"/>
      <c r="L46" s="10"/>
    </row>
    <row r="47" spans="8:17" x14ac:dyDescent="0.25">
      <c r="H47" s="10"/>
      <c r="L47" s="10"/>
    </row>
    <row r="48" spans="8:17" x14ac:dyDescent="0.25">
      <c r="H48" s="10"/>
      <c r="L48" s="10"/>
    </row>
    <row r="69" spans="8:12" s="4" customFormat="1" ht="15.75" x14ac:dyDescent="0.25"/>
    <row r="71" spans="8:12" x14ac:dyDescent="0.25">
      <c r="H71" s="10"/>
      <c r="L71" s="10"/>
    </row>
    <row r="72" spans="8:12" x14ac:dyDescent="0.25">
      <c r="H72" s="10"/>
      <c r="L72" s="10"/>
    </row>
    <row r="73" spans="8:12" x14ac:dyDescent="0.25">
      <c r="H73" s="10"/>
      <c r="L73" s="10"/>
    </row>
    <row r="74" spans="8:12" x14ac:dyDescent="0.25">
      <c r="H74" s="10"/>
      <c r="L74" s="10"/>
    </row>
    <row r="75" spans="8:12" x14ac:dyDescent="0.25">
      <c r="H75" s="10"/>
      <c r="L75" s="10"/>
    </row>
    <row r="77" spans="8:12" x14ac:dyDescent="0.25">
      <c r="H77" s="10"/>
      <c r="L77" s="10"/>
    </row>
    <row r="78" spans="8:12" x14ac:dyDescent="0.25">
      <c r="H78" s="10"/>
      <c r="L78" s="10"/>
    </row>
    <row r="79" spans="8:12" x14ac:dyDescent="0.25">
      <c r="H79" s="10"/>
      <c r="L79" s="10"/>
    </row>
    <row r="80" spans="8:12" x14ac:dyDescent="0.25">
      <c r="H80" s="10"/>
      <c r="L80" s="10"/>
    </row>
    <row r="81" spans="8:14" x14ac:dyDescent="0.25">
      <c r="H81" s="10"/>
      <c r="L81" s="10"/>
    </row>
    <row r="83" spans="8:14" x14ac:dyDescent="0.25">
      <c r="H83" s="10"/>
    </row>
    <row r="84" spans="8:14" x14ac:dyDescent="0.25">
      <c r="H84" s="10"/>
    </row>
    <row r="85" spans="8:14" x14ac:dyDescent="0.25">
      <c r="H85" s="10"/>
    </row>
    <row r="86" spans="8:14" x14ac:dyDescent="0.25">
      <c r="H86" s="10"/>
    </row>
    <row r="87" spans="8:14" x14ac:dyDescent="0.25">
      <c r="H87" s="10"/>
    </row>
    <row r="88" spans="8:14" x14ac:dyDescent="0.25">
      <c r="N88" s="7"/>
    </row>
  </sheetData>
  <mergeCells count="9">
    <mergeCell ref="H77:H81"/>
    <mergeCell ref="L77:L81"/>
    <mergeCell ref="H83:H87"/>
    <mergeCell ref="H38:H42"/>
    <mergeCell ref="L38:L42"/>
    <mergeCell ref="H44:H48"/>
    <mergeCell ref="L44:L48"/>
    <mergeCell ref="H71:H75"/>
    <mergeCell ref="L71:L75"/>
  </mergeCells>
  <conditionalFormatting sqref="A1:XFD1 M2:XFD22 A24:XFD49 A70:XFD1048576 A50:A69 M50:XFD69 A2:L21 A22:A23 B23:XFD23">
    <cfRule type="cellIs" dxfId="27" priority="5" operator="equal">
      <formula>"Celebração"</formula>
    </cfRule>
  </conditionalFormatting>
  <conditionalFormatting sqref="L1:L1048576">
    <cfRule type="beginsWith" dxfId="26" priority="2" operator="beginsWith" text="Não">
      <formula>LEFT(L1,LEN("Não"))="Não"</formula>
    </cfRule>
    <cfRule type="beginsWith" dxfId="25" priority="3" operator="beginsWith" text="Testada">
      <formula>LEFT(L1,LEN("Testada"))="Testada"</formula>
    </cfRule>
  </conditionalFormatting>
  <conditionalFormatting sqref="A1:XFD1048576">
    <cfRule type="cellIs" dxfId="24" priority="4" operator="equal">
      <formula>"Vibe"</formula>
    </cfRule>
    <cfRule type="cellIs" dxfId="23" priority="6" operator="equal">
      <formula>"Tema"</formula>
    </cfRule>
    <cfRule type="cellIs" dxfId="22" priority="7" operator="equal">
      <formula>"Paleta"</formula>
    </cfRule>
    <cfRule type="cellIs" dxfId="21" priority="8" operator="equal">
      <formula>"Origem"</formula>
    </cfRule>
  </conditionalFormatting>
  <conditionalFormatting sqref="E22">
    <cfRule type="cellIs" dxfId="13" priority="1" operator="equal">
      <formula>"Celebração"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6100-61D6-4D01-B8A6-7A11AE287EA5}">
  <dimension ref="A1:P97"/>
  <sheetViews>
    <sheetView tabSelected="1" workbookViewId="0">
      <selection activeCell="E11" sqref="E11"/>
    </sheetView>
  </sheetViews>
  <sheetFormatPr defaultColWidth="9.140625" defaultRowHeight="15" x14ac:dyDescent="0.25"/>
  <cols>
    <col min="1" max="1" width="4.28515625" style="1" bestFit="1" customWidth="1"/>
    <col min="2" max="2" width="19.42578125" style="2" customWidth="1"/>
    <col min="3" max="3" width="9.28515625" style="2" customWidth="1"/>
    <col min="4" max="4" width="31.42578125" style="2" customWidth="1"/>
    <col min="5" max="5" width="15.42578125" style="2" customWidth="1"/>
    <col min="6" max="6" width="18.140625" style="2" customWidth="1"/>
    <col min="7" max="7" width="15.7109375" style="2" customWidth="1"/>
    <col min="8" max="9" width="16.5703125" style="2" customWidth="1"/>
    <col min="10" max="10" width="39.28515625" style="2" customWidth="1"/>
    <col min="11" max="11" width="34" style="2" customWidth="1"/>
    <col min="12" max="12" width="11" style="2" bestFit="1" customWidth="1"/>
    <col min="13" max="13" width="9.140625" style="2"/>
    <col min="14" max="14" width="11" style="2" bestFit="1" customWidth="1"/>
    <col min="15" max="15" width="12" style="2" bestFit="1" customWidth="1"/>
    <col min="16" max="16" width="5.5703125" style="2" bestFit="1" customWidth="1"/>
    <col min="17" max="16384" width="9.140625" style="2"/>
  </cols>
  <sheetData>
    <row r="1" spans="1:16" ht="4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/>
      <c r="N1" s="15" t="s">
        <v>188</v>
      </c>
      <c r="O1" s="15" t="s">
        <v>189</v>
      </c>
      <c r="P1" s="15" t="s">
        <v>190</v>
      </c>
    </row>
    <row r="2" spans="1:16" ht="30" customHeight="1" x14ac:dyDescent="0.25">
      <c r="A2" s="16" t="s">
        <v>89</v>
      </c>
      <c r="B2" s="17" t="s">
        <v>101</v>
      </c>
      <c r="C2" s="17" t="s">
        <v>102</v>
      </c>
      <c r="D2" s="17" t="s">
        <v>109</v>
      </c>
      <c r="E2" s="14" t="s">
        <v>32</v>
      </c>
      <c r="F2" s="14" t="s">
        <v>103</v>
      </c>
      <c r="G2" s="17" t="s">
        <v>105</v>
      </c>
      <c r="H2" s="17" t="s">
        <v>17</v>
      </c>
      <c r="I2" s="17" t="s">
        <v>18</v>
      </c>
      <c r="J2" s="17" t="s">
        <v>106</v>
      </c>
      <c r="K2" s="17" t="s">
        <v>107</v>
      </c>
      <c r="L2" s="17" t="s">
        <v>21</v>
      </c>
      <c r="M2" s="14"/>
      <c r="N2" s="14"/>
      <c r="O2" s="14"/>
      <c r="P2" s="14"/>
    </row>
    <row r="3" spans="1:16" ht="30" customHeight="1" x14ac:dyDescent="0.25">
      <c r="A3" s="16"/>
      <c r="B3" s="17"/>
      <c r="C3" s="17"/>
      <c r="D3" s="17"/>
      <c r="E3" s="14" t="s">
        <v>50</v>
      </c>
      <c r="F3" s="14" t="s">
        <v>104</v>
      </c>
      <c r="G3" s="17"/>
      <c r="H3" s="17"/>
      <c r="I3" s="17"/>
      <c r="J3" s="17"/>
      <c r="K3" s="17"/>
      <c r="L3" s="17"/>
      <c r="M3" s="14"/>
      <c r="N3" s="18" t="s">
        <v>32</v>
      </c>
      <c r="O3" s="19" t="s">
        <v>175</v>
      </c>
      <c r="P3" s="14">
        <f>COUNTIF(F2:F59,"Natural")</f>
        <v>2</v>
      </c>
    </row>
    <row r="4" spans="1:16" s="4" customFormat="1" ht="30" customHeight="1" x14ac:dyDescent="0.25">
      <c r="A4" s="16" t="s">
        <v>90</v>
      </c>
      <c r="B4" s="17" t="s">
        <v>112</v>
      </c>
      <c r="C4" s="17" t="s">
        <v>102</v>
      </c>
      <c r="D4" s="17" t="s">
        <v>108</v>
      </c>
      <c r="E4" s="14" t="s">
        <v>32</v>
      </c>
      <c r="F4" s="14" t="s">
        <v>110</v>
      </c>
      <c r="G4" s="17" t="s">
        <v>105</v>
      </c>
      <c r="H4" s="17" t="s">
        <v>17</v>
      </c>
      <c r="I4" s="17" t="s">
        <v>18</v>
      </c>
      <c r="J4" s="17" t="s">
        <v>106</v>
      </c>
      <c r="K4" s="17" t="s">
        <v>107</v>
      </c>
      <c r="L4" s="17" t="s">
        <v>21</v>
      </c>
      <c r="M4" s="20"/>
      <c r="N4" s="18"/>
      <c r="O4" s="19" t="s">
        <v>130</v>
      </c>
      <c r="P4" s="14">
        <f>COUNTIF(F2:F59,"Mitológico")</f>
        <v>2</v>
      </c>
    </row>
    <row r="5" spans="1:16" s="4" customFormat="1" ht="30" customHeight="1" x14ac:dyDescent="0.25">
      <c r="A5" s="16"/>
      <c r="B5" s="17"/>
      <c r="C5" s="17"/>
      <c r="D5" s="17"/>
      <c r="E5" s="21" t="s">
        <v>48</v>
      </c>
      <c r="F5" s="14" t="s">
        <v>111</v>
      </c>
      <c r="G5" s="17"/>
      <c r="H5" s="17"/>
      <c r="I5" s="17"/>
      <c r="J5" s="17"/>
      <c r="K5" s="17"/>
      <c r="L5" s="17"/>
      <c r="M5" s="20"/>
      <c r="N5" s="18"/>
      <c r="O5" s="19" t="s">
        <v>103</v>
      </c>
      <c r="P5" s="14">
        <f>COUNTIF(F2:F59,"Cósmico")</f>
        <v>2</v>
      </c>
    </row>
    <row r="6" spans="1:16" ht="30" customHeight="1" x14ac:dyDescent="0.25">
      <c r="A6" s="16" t="s">
        <v>91</v>
      </c>
      <c r="B6" s="17" t="s">
        <v>113</v>
      </c>
      <c r="C6" s="17" t="s">
        <v>102</v>
      </c>
      <c r="D6" s="17" t="s">
        <v>114</v>
      </c>
      <c r="E6" s="14" t="s">
        <v>50</v>
      </c>
      <c r="F6" s="14" t="s">
        <v>115</v>
      </c>
      <c r="G6" s="17" t="s">
        <v>105</v>
      </c>
      <c r="H6" s="17" t="s">
        <v>17</v>
      </c>
      <c r="I6" s="17" t="s">
        <v>18</v>
      </c>
      <c r="J6" s="17" t="s">
        <v>106</v>
      </c>
      <c r="K6" s="17" t="s">
        <v>107</v>
      </c>
      <c r="L6" s="17" t="s">
        <v>21</v>
      </c>
      <c r="M6" s="14"/>
      <c r="N6" s="18"/>
      <c r="O6" s="19" t="s">
        <v>110</v>
      </c>
      <c r="P6" s="14">
        <f>COUNTIF(F2:F59,"Mágico")</f>
        <v>3</v>
      </c>
    </row>
    <row r="7" spans="1:16" ht="30" customHeight="1" x14ac:dyDescent="0.25">
      <c r="A7" s="16"/>
      <c r="B7" s="17"/>
      <c r="C7" s="17"/>
      <c r="D7" s="17"/>
      <c r="E7" s="14" t="s">
        <v>49</v>
      </c>
      <c r="F7" s="14" t="s">
        <v>116</v>
      </c>
      <c r="G7" s="17"/>
      <c r="H7" s="17"/>
      <c r="I7" s="17"/>
      <c r="J7" s="17"/>
      <c r="K7" s="17"/>
      <c r="L7" s="17"/>
      <c r="M7" s="14"/>
      <c r="N7" s="18"/>
      <c r="O7" s="19" t="s">
        <v>150</v>
      </c>
      <c r="P7" s="14">
        <f>COUNTIF(F2:F59,"Geek")</f>
        <v>2</v>
      </c>
    </row>
    <row r="8" spans="1:16" ht="30" customHeight="1" x14ac:dyDescent="0.25">
      <c r="A8" s="16" t="s">
        <v>92</v>
      </c>
      <c r="B8" s="17" t="s">
        <v>117</v>
      </c>
      <c r="C8" s="17" t="s">
        <v>102</v>
      </c>
      <c r="D8" s="17" t="s">
        <v>118</v>
      </c>
      <c r="E8" s="14" t="s">
        <v>48</v>
      </c>
      <c r="F8" s="14" t="s">
        <v>119</v>
      </c>
      <c r="G8" s="17" t="s">
        <v>105</v>
      </c>
      <c r="H8" s="17" t="s">
        <v>17</v>
      </c>
      <c r="I8" s="17" t="s">
        <v>18</v>
      </c>
      <c r="J8" s="17" t="s">
        <v>106</v>
      </c>
      <c r="K8" s="17" t="s">
        <v>107</v>
      </c>
      <c r="L8" s="17" t="s">
        <v>21</v>
      </c>
      <c r="M8" s="14"/>
      <c r="N8" s="19"/>
      <c r="O8" s="19"/>
      <c r="P8" s="14"/>
    </row>
    <row r="9" spans="1:16" ht="30" customHeight="1" x14ac:dyDescent="0.25">
      <c r="A9" s="16"/>
      <c r="B9" s="17"/>
      <c r="C9" s="17"/>
      <c r="D9" s="17"/>
      <c r="E9" s="14" t="s">
        <v>49</v>
      </c>
      <c r="F9" s="14" t="s">
        <v>120</v>
      </c>
      <c r="G9" s="17"/>
      <c r="H9" s="17"/>
      <c r="I9" s="17"/>
      <c r="J9" s="17"/>
      <c r="K9" s="17"/>
      <c r="L9" s="17"/>
      <c r="M9" s="14"/>
      <c r="N9" s="18" t="s">
        <v>48</v>
      </c>
      <c r="O9" s="19" t="s">
        <v>133</v>
      </c>
      <c r="P9" s="14">
        <f>COUNTIF(F2:F59,"Fofo")</f>
        <v>2</v>
      </c>
    </row>
    <row r="10" spans="1:16" ht="30" customHeight="1" x14ac:dyDescent="0.25">
      <c r="A10" s="16" t="s">
        <v>93</v>
      </c>
      <c r="B10" s="17" t="s">
        <v>121</v>
      </c>
      <c r="C10" s="17" t="s">
        <v>102</v>
      </c>
      <c r="D10" s="17" t="s">
        <v>122</v>
      </c>
      <c r="E10" s="14" t="s">
        <v>48</v>
      </c>
      <c r="F10" s="14" t="s">
        <v>111</v>
      </c>
      <c r="G10" s="17" t="s">
        <v>105</v>
      </c>
      <c r="H10" s="17" t="s">
        <v>17</v>
      </c>
      <c r="I10" s="17" t="s">
        <v>18</v>
      </c>
      <c r="J10" s="17" t="s">
        <v>106</v>
      </c>
      <c r="K10" s="17" t="s">
        <v>107</v>
      </c>
      <c r="L10" s="17" t="s">
        <v>21</v>
      </c>
      <c r="M10" s="14"/>
      <c r="N10" s="18"/>
      <c r="O10" s="19" t="s">
        <v>111</v>
      </c>
      <c r="P10" s="14">
        <f>COUNTIF(F2:F59,"Romântico")</f>
        <v>3</v>
      </c>
    </row>
    <row r="11" spans="1:16" ht="30" customHeight="1" x14ac:dyDescent="0.25">
      <c r="A11" s="16"/>
      <c r="B11" s="17"/>
      <c r="C11" s="17"/>
      <c r="D11" s="17"/>
      <c r="E11" s="14" t="s">
        <v>51</v>
      </c>
      <c r="F11" s="14" t="s">
        <v>123</v>
      </c>
      <c r="G11" s="17"/>
      <c r="H11" s="17"/>
      <c r="I11" s="17"/>
      <c r="J11" s="17"/>
      <c r="K11" s="17"/>
      <c r="L11" s="17"/>
      <c r="M11" s="14"/>
      <c r="N11" s="18"/>
      <c r="O11" s="19" t="s">
        <v>119</v>
      </c>
      <c r="P11" s="14">
        <f>COUNTIF(F2:F59,"Elegante")</f>
        <v>2</v>
      </c>
    </row>
    <row r="12" spans="1:16" ht="30" customHeight="1" x14ac:dyDescent="0.25">
      <c r="A12" s="16" t="s">
        <v>94</v>
      </c>
      <c r="B12" s="17" t="s">
        <v>124</v>
      </c>
      <c r="C12" s="17" t="s">
        <v>102</v>
      </c>
      <c r="D12" s="17" t="s">
        <v>125</v>
      </c>
      <c r="E12" s="14" t="s">
        <v>49</v>
      </c>
      <c r="F12" s="14" t="s">
        <v>126</v>
      </c>
      <c r="G12" s="17" t="s">
        <v>105</v>
      </c>
      <c r="H12" s="17" t="s">
        <v>17</v>
      </c>
      <c r="I12" s="17" t="s">
        <v>18</v>
      </c>
      <c r="J12" s="17" t="s">
        <v>106</v>
      </c>
      <c r="K12" s="17" t="s">
        <v>107</v>
      </c>
      <c r="L12" s="17" t="s">
        <v>21</v>
      </c>
      <c r="M12" s="14"/>
      <c r="N12" s="18"/>
      <c r="O12" s="19" t="s">
        <v>191</v>
      </c>
      <c r="P12" s="14">
        <f>COUNTIF(F2:F59,"Selvagem")</f>
        <v>2</v>
      </c>
    </row>
    <row r="13" spans="1:16" ht="30" customHeight="1" x14ac:dyDescent="0.25">
      <c r="A13" s="16"/>
      <c r="B13" s="17"/>
      <c r="C13" s="17"/>
      <c r="D13" s="17"/>
      <c r="E13" s="14" t="s">
        <v>51</v>
      </c>
      <c r="F13" s="14" t="s">
        <v>127</v>
      </c>
      <c r="G13" s="17"/>
      <c r="H13" s="17"/>
      <c r="I13" s="17"/>
      <c r="J13" s="17"/>
      <c r="K13" s="17"/>
      <c r="L13" s="17"/>
      <c r="M13" s="14"/>
      <c r="N13" s="18"/>
      <c r="O13" s="19" t="s">
        <v>153</v>
      </c>
      <c r="P13" s="14">
        <f>COUNTIF(F2:F59,"Sombrio")</f>
        <v>2</v>
      </c>
    </row>
    <row r="14" spans="1:16" ht="30" customHeight="1" x14ac:dyDescent="0.25">
      <c r="A14" s="16" t="s">
        <v>95</v>
      </c>
      <c r="B14" s="17" t="s">
        <v>128</v>
      </c>
      <c r="C14" s="17" t="s">
        <v>102</v>
      </c>
      <c r="D14" s="17" t="s">
        <v>132</v>
      </c>
      <c r="E14" s="14" t="s">
        <v>32</v>
      </c>
      <c r="F14" s="14" t="s">
        <v>130</v>
      </c>
      <c r="G14" s="17" t="s">
        <v>105</v>
      </c>
      <c r="H14" s="17" t="s">
        <v>17</v>
      </c>
      <c r="I14" s="17" t="s">
        <v>18</v>
      </c>
      <c r="J14" s="17" t="s">
        <v>106</v>
      </c>
      <c r="K14" s="17" t="s">
        <v>107</v>
      </c>
      <c r="L14" s="17" t="s">
        <v>21</v>
      </c>
      <c r="M14" s="14"/>
      <c r="N14" s="19"/>
      <c r="O14" s="19"/>
      <c r="P14" s="14"/>
    </row>
    <row r="15" spans="1:16" ht="30" customHeight="1" x14ac:dyDescent="0.25">
      <c r="A15" s="16"/>
      <c r="B15" s="17"/>
      <c r="C15" s="17"/>
      <c r="D15" s="17"/>
      <c r="E15" s="14" t="s">
        <v>51</v>
      </c>
      <c r="F15" s="14" t="s">
        <v>129</v>
      </c>
      <c r="G15" s="17"/>
      <c r="H15" s="17"/>
      <c r="I15" s="17"/>
      <c r="J15" s="17"/>
      <c r="K15" s="17"/>
      <c r="L15" s="17"/>
      <c r="M15" s="14"/>
      <c r="N15" s="18" t="s">
        <v>50</v>
      </c>
      <c r="O15" s="19" t="s">
        <v>115</v>
      </c>
      <c r="P15" s="14">
        <f>COUNTIF(F2:F59,"Infantil")</f>
        <v>3</v>
      </c>
    </row>
    <row r="16" spans="1:16" ht="30" customHeight="1" x14ac:dyDescent="0.25">
      <c r="A16" s="16" t="s">
        <v>96</v>
      </c>
      <c r="B16" s="17" t="s">
        <v>135</v>
      </c>
      <c r="C16" s="17" t="s">
        <v>102</v>
      </c>
      <c r="D16" s="17" t="s">
        <v>131</v>
      </c>
      <c r="E16" s="14" t="s">
        <v>48</v>
      </c>
      <c r="F16" s="14" t="s">
        <v>133</v>
      </c>
      <c r="G16" s="17" t="s">
        <v>105</v>
      </c>
      <c r="H16" s="17" t="s">
        <v>17</v>
      </c>
      <c r="I16" s="17" t="s">
        <v>18</v>
      </c>
      <c r="J16" s="17" t="s">
        <v>106</v>
      </c>
      <c r="K16" s="17" t="s">
        <v>107</v>
      </c>
      <c r="L16" s="17" t="s">
        <v>21</v>
      </c>
      <c r="M16" s="14"/>
      <c r="N16" s="18"/>
      <c r="O16" s="19" t="s">
        <v>158</v>
      </c>
      <c r="P16" s="14">
        <f>COUNTIF(F2:F59,"Comédia")</f>
        <v>2</v>
      </c>
    </row>
    <row r="17" spans="1:16" ht="30" customHeight="1" x14ac:dyDescent="0.25">
      <c r="A17" s="16"/>
      <c r="B17" s="17"/>
      <c r="C17" s="17"/>
      <c r="D17" s="17"/>
      <c r="E17" s="14" t="s">
        <v>51</v>
      </c>
      <c r="F17" s="14" t="s">
        <v>134</v>
      </c>
      <c r="G17" s="17"/>
      <c r="H17" s="17"/>
      <c r="I17" s="17"/>
      <c r="J17" s="17"/>
      <c r="K17" s="17"/>
      <c r="L17" s="17"/>
      <c r="M17" s="14"/>
      <c r="N17" s="18"/>
      <c r="O17" s="19" t="s">
        <v>160</v>
      </c>
      <c r="P17" s="14">
        <f>COUNTIF(F2:F59,"Drama")</f>
        <v>2</v>
      </c>
    </row>
    <row r="18" spans="1:16" ht="30" customHeight="1" x14ac:dyDescent="0.25">
      <c r="A18" s="16" t="s">
        <v>97</v>
      </c>
      <c r="B18" s="17" t="s">
        <v>136</v>
      </c>
      <c r="C18" s="17" t="s">
        <v>102</v>
      </c>
      <c r="D18" s="17" t="s">
        <v>137</v>
      </c>
      <c r="E18" s="14" t="s">
        <v>49</v>
      </c>
      <c r="F18" s="14" t="s">
        <v>139</v>
      </c>
      <c r="G18" s="17" t="s">
        <v>105</v>
      </c>
      <c r="H18" s="17" t="s">
        <v>17</v>
      </c>
      <c r="I18" s="17" t="s">
        <v>18</v>
      </c>
      <c r="J18" s="17" t="s">
        <v>106</v>
      </c>
      <c r="K18" s="17" t="s">
        <v>107</v>
      </c>
      <c r="L18" s="17" t="s">
        <v>21</v>
      </c>
      <c r="M18" s="14"/>
      <c r="N18" s="18"/>
      <c r="O18" s="19" t="s">
        <v>170</v>
      </c>
      <c r="P18" s="14">
        <f>COUNTIF(F2:F59,"Sci-fi")</f>
        <v>2</v>
      </c>
    </row>
    <row r="19" spans="1:16" ht="30" customHeight="1" x14ac:dyDescent="0.25">
      <c r="A19" s="16"/>
      <c r="B19" s="17"/>
      <c r="C19" s="17"/>
      <c r="D19" s="17"/>
      <c r="E19" s="14" t="s">
        <v>51</v>
      </c>
      <c r="F19" s="14" t="s">
        <v>138</v>
      </c>
      <c r="G19" s="17"/>
      <c r="H19" s="17"/>
      <c r="I19" s="17"/>
      <c r="J19" s="17"/>
      <c r="K19" s="17"/>
      <c r="L19" s="17"/>
      <c r="M19" s="14"/>
      <c r="N19" s="18"/>
      <c r="O19" s="19" t="s">
        <v>104</v>
      </c>
      <c r="P19" s="14">
        <f>COUNTIF(F2:F59,"Terror")</f>
        <v>2</v>
      </c>
    </row>
    <row r="20" spans="1:16" ht="30" customHeight="1" x14ac:dyDescent="0.25">
      <c r="A20" s="16" t="s">
        <v>98</v>
      </c>
      <c r="B20" s="17" t="s">
        <v>149</v>
      </c>
      <c r="C20" s="17" t="s">
        <v>102</v>
      </c>
      <c r="D20" s="17" t="s">
        <v>157</v>
      </c>
      <c r="E20" s="14" t="s">
        <v>32</v>
      </c>
      <c r="F20" s="14" t="s">
        <v>150</v>
      </c>
      <c r="G20" s="17" t="s">
        <v>105</v>
      </c>
      <c r="H20" s="17" t="s">
        <v>17</v>
      </c>
      <c r="I20" s="17" t="s">
        <v>18</v>
      </c>
      <c r="J20" s="17" t="s">
        <v>106</v>
      </c>
      <c r="K20" s="17" t="s">
        <v>107</v>
      </c>
      <c r="L20" s="17" t="s">
        <v>148</v>
      </c>
      <c r="M20" s="14"/>
      <c r="N20" s="14"/>
      <c r="O20" s="14"/>
      <c r="P20" s="14"/>
    </row>
    <row r="21" spans="1:16" ht="30" customHeight="1" x14ac:dyDescent="0.25">
      <c r="A21" s="16"/>
      <c r="B21" s="17"/>
      <c r="C21" s="17"/>
      <c r="D21" s="17"/>
      <c r="E21" s="14" t="s">
        <v>49</v>
      </c>
      <c r="F21" s="14" t="s">
        <v>151</v>
      </c>
      <c r="G21" s="17"/>
      <c r="H21" s="17"/>
      <c r="I21" s="17"/>
      <c r="J21" s="17"/>
      <c r="K21" s="17"/>
      <c r="L21" s="17"/>
      <c r="M21" s="14"/>
      <c r="N21" s="18" t="s">
        <v>49</v>
      </c>
      <c r="O21" s="19" t="s">
        <v>120</v>
      </c>
      <c r="P21" s="14">
        <f>COUNTIF(F2:F59,"Neutro")</f>
        <v>2</v>
      </c>
    </row>
    <row r="22" spans="1:16" ht="30" customHeight="1" x14ac:dyDescent="0.25">
      <c r="A22" s="16" t="s">
        <v>99</v>
      </c>
      <c r="B22" s="17" t="s">
        <v>152</v>
      </c>
      <c r="C22" s="17" t="s">
        <v>102</v>
      </c>
      <c r="D22" s="17" t="s">
        <v>156</v>
      </c>
      <c r="E22" s="14" t="s">
        <v>32</v>
      </c>
      <c r="F22" s="14" t="s">
        <v>103</v>
      </c>
      <c r="G22" s="17" t="s">
        <v>105</v>
      </c>
      <c r="H22" s="17" t="s">
        <v>17</v>
      </c>
      <c r="I22" s="17" t="s">
        <v>18</v>
      </c>
      <c r="J22" s="17" t="s">
        <v>106</v>
      </c>
      <c r="K22" s="17" t="s">
        <v>107</v>
      </c>
      <c r="L22" s="17" t="s">
        <v>148</v>
      </c>
      <c r="M22" s="14"/>
      <c r="N22" s="18"/>
      <c r="O22" s="19" t="s">
        <v>116</v>
      </c>
      <c r="P22" s="14">
        <f>COUNTIF(F2:F59,"Pastel")</f>
        <v>2</v>
      </c>
    </row>
    <row r="23" spans="1:16" ht="30" customHeight="1" x14ac:dyDescent="0.25">
      <c r="A23" s="16"/>
      <c r="B23" s="17"/>
      <c r="C23" s="17"/>
      <c r="D23" s="17"/>
      <c r="E23" s="14" t="s">
        <v>48</v>
      </c>
      <c r="F23" s="14" t="s">
        <v>153</v>
      </c>
      <c r="G23" s="17"/>
      <c r="H23" s="17"/>
      <c r="I23" s="17"/>
      <c r="J23" s="17"/>
      <c r="K23" s="17"/>
      <c r="L23" s="17"/>
      <c r="M23" s="14"/>
      <c r="N23" s="18"/>
      <c r="O23" s="19" t="s">
        <v>126</v>
      </c>
      <c r="P23" s="14">
        <f>COUNTIF(F2:F59,"Vibrante")</f>
        <v>2</v>
      </c>
    </row>
    <row r="24" spans="1:16" ht="30" customHeight="1" x14ac:dyDescent="0.25">
      <c r="A24" s="16" t="s">
        <v>100</v>
      </c>
      <c r="B24" s="17" t="s">
        <v>154</v>
      </c>
      <c r="C24" s="17" t="s">
        <v>102</v>
      </c>
      <c r="D24" s="17" t="s">
        <v>155</v>
      </c>
      <c r="E24" s="14" t="s">
        <v>50</v>
      </c>
      <c r="F24" s="14" t="s">
        <v>158</v>
      </c>
      <c r="G24" s="17" t="s">
        <v>105</v>
      </c>
      <c r="H24" s="17" t="s">
        <v>17</v>
      </c>
      <c r="I24" s="17" t="s">
        <v>18</v>
      </c>
      <c r="J24" s="17" t="s">
        <v>106</v>
      </c>
      <c r="K24" s="17" t="s">
        <v>107</v>
      </c>
      <c r="L24" s="17" t="s">
        <v>148</v>
      </c>
      <c r="M24" s="14"/>
      <c r="N24" s="18"/>
      <c r="O24" s="19" t="s">
        <v>139</v>
      </c>
      <c r="P24" s="14">
        <f>COUNTIF(F2:F59,"Quente")</f>
        <v>3</v>
      </c>
    </row>
    <row r="25" spans="1:16" ht="30" customHeight="1" x14ac:dyDescent="0.25">
      <c r="A25" s="16"/>
      <c r="B25" s="17"/>
      <c r="C25" s="17"/>
      <c r="D25" s="17"/>
      <c r="E25" s="14" t="s">
        <v>49</v>
      </c>
      <c r="F25" s="14" t="s">
        <v>139</v>
      </c>
      <c r="G25" s="17"/>
      <c r="H25" s="17"/>
      <c r="I25" s="17"/>
      <c r="J25" s="17"/>
      <c r="K25" s="17"/>
      <c r="L25" s="17"/>
      <c r="M25" s="14"/>
      <c r="N25" s="18"/>
      <c r="O25" s="19" t="s">
        <v>151</v>
      </c>
      <c r="P25" s="14">
        <f>COUNTIF(F2:F59,"Frio")</f>
        <v>2</v>
      </c>
    </row>
    <row r="26" spans="1:16" ht="30" customHeight="1" x14ac:dyDescent="0.25">
      <c r="A26" s="16" t="s">
        <v>140</v>
      </c>
      <c r="B26" s="17" t="s">
        <v>159</v>
      </c>
      <c r="C26" s="17" t="s">
        <v>102</v>
      </c>
      <c r="D26" s="17" t="s">
        <v>165</v>
      </c>
      <c r="E26" s="14" t="s">
        <v>50</v>
      </c>
      <c r="F26" s="14" t="s">
        <v>160</v>
      </c>
      <c r="G26" s="17" t="s">
        <v>105</v>
      </c>
      <c r="H26" s="17" t="s">
        <v>17</v>
      </c>
      <c r="I26" s="17" t="s">
        <v>18</v>
      </c>
      <c r="J26" s="17" t="s">
        <v>106</v>
      </c>
      <c r="K26" s="17" t="s">
        <v>107</v>
      </c>
      <c r="L26" s="17" t="s">
        <v>148</v>
      </c>
      <c r="M26" s="14"/>
      <c r="N26" s="19"/>
      <c r="O26" s="19"/>
      <c r="P26" s="14"/>
    </row>
    <row r="27" spans="1:16" ht="30" customHeight="1" x14ac:dyDescent="0.25">
      <c r="A27" s="16"/>
      <c r="B27" s="17"/>
      <c r="C27" s="17"/>
      <c r="D27" s="17"/>
      <c r="E27" s="14" t="s">
        <v>48</v>
      </c>
      <c r="F27" s="14" t="s">
        <v>119</v>
      </c>
      <c r="G27" s="17"/>
      <c r="H27" s="17"/>
      <c r="I27" s="17"/>
      <c r="J27" s="17"/>
      <c r="K27" s="17"/>
      <c r="L27" s="17"/>
      <c r="M27" s="14"/>
      <c r="N27" s="18" t="s">
        <v>51</v>
      </c>
      <c r="O27" s="19" t="s">
        <v>127</v>
      </c>
      <c r="P27" s="14">
        <f>COUNTIF(F2:F59,"Carnaval")</f>
        <v>2</v>
      </c>
    </row>
    <row r="28" spans="1:16" ht="30" customHeight="1" x14ac:dyDescent="0.25">
      <c r="A28" s="16" t="s">
        <v>141</v>
      </c>
      <c r="B28" s="17" t="s">
        <v>161</v>
      </c>
      <c r="C28" s="17" t="s">
        <v>102</v>
      </c>
      <c r="D28" s="17" t="s">
        <v>164</v>
      </c>
      <c r="E28" s="14" t="s">
        <v>32</v>
      </c>
      <c r="F28" s="14" t="s">
        <v>150</v>
      </c>
      <c r="G28" s="17" t="s">
        <v>105</v>
      </c>
      <c r="H28" s="17" t="s">
        <v>17</v>
      </c>
      <c r="I28" s="17" t="s">
        <v>18</v>
      </c>
      <c r="J28" s="17" t="s">
        <v>106</v>
      </c>
      <c r="K28" s="17" t="s">
        <v>107</v>
      </c>
      <c r="L28" s="17" t="s">
        <v>148</v>
      </c>
      <c r="M28" s="14"/>
      <c r="N28" s="18"/>
      <c r="O28" s="19" t="s">
        <v>134</v>
      </c>
      <c r="P28" s="14">
        <f>COUNTIF(F2:F59,"Páscoa")</f>
        <v>2</v>
      </c>
    </row>
    <row r="29" spans="1:16" ht="30" customHeight="1" x14ac:dyDescent="0.25">
      <c r="A29" s="16"/>
      <c r="B29" s="17"/>
      <c r="C29" s="17"/>
      <c r="D29" s="17"/>
      <c r="E29" s="14" t="s">
        <v>50</v>
      </c>
      <c r="F29" s="14" t="s">
        <v>115</v>
      </c>
      <c r="G29" s="17"/>
      <c r="H29" s="17"/>
      <c r="I29" s="17"/>
      <c r="J29" s="17"/>
      <c r="K29" s="17"/>
      <c r="L29" s="17"/>
      <c r="M29" s="14"/>
      <c r="N29" s="18"/>
      <c r="O29" s="19" t="s">
        <v>138</v>
      </c>
      <c r="P29" s="14">
        <f>COUNTIF(F2:F59,"Festa Junina")</f>
        <v>2</v>
      </c>
    </row>
    <row r="30" spans="1:16" ht="30" customHeight="1" x14ac:dyDescent="0.25">
      <c r="A30" s="16" t="s">
        <v>142</v>
      </c>
      <c r="B30" s="17" t="s">
        <v>162</v>
      </c>
      <c r="C30" s="17" t="s">
        <v>102</v>
      </c>
      <c r="D30" s="17" t="s">
        <v>163</v>
      </c>
      <c r="E30" s="14" t="s">
        <v>48</v>
      </c>
      <c r="F30" s="14" t="s">
        <v>133</v>
      </c>
      <c r="G30" s="17" t="s">
        <v>105</v>
      </c>
      <c r="H30" s="17" t="s">
        <v>17</v>
      </c>
      <c r="I30" s="17" t="s">
        <v>18</v>
      </c>
      <c r="J30" s="17" t="s">
        <v>106</v>
      </c>
      <c r="K30" s="17" t="s">
        <v>107</v>
      </c>
      <c r="L30" s="17" t="s">
        <v>148</v>
      </c>
      <c r="M30" s="14"/>
      <c r="N30" s="18"/>
      <c r="O30" s="19" t="s">
        <v>129</v>
      </c>
      <c r="P30" s="14">
        <f>COUNTIF(F2:F59,"Halloween")</f>
        <v>2</v>
      </c>
    </row>
    <row r="31" spans="1:16" ht="30" customHeight="1" x14ac:dyDescent="0.25">
      <c r="A31" s="16"/>
      <c r="B31" s="17"/>
      <c r="C31" s="17"/>
      <c r="D31" s="17"/>
      <c r="E31" s="14" t="s">
        <v>49</v>
      </c>
      <c r="F31" s="14" t="s">
        <v>116</v>
      </c>
      <c r="G31" s="17"/>
      <c r="H31" s="17"/>
      <c r="I31" s="17"/>
      <c r="J31" s="17"/>
      <c r="K31" s="17"/>
      <c r="L31" s="17"/>
      <c r="M31" s="14"/>
      <c r="N31" s="18"/>
      <c r="O31" s="19" t="s">
        <v>123</v>
      </c>
      <c r="P31" s="14">
        <f>COUNTIF(F2:F59,"Natal")</f>
        <v>2</v>
      </c>
    </row>
    <row r="32" spans="1:16" ht="30" customHeight="1" x14ac:dyDescent="0.25">
      <c r="A32" s="16" t="s">
        <v>143</v>
      </c>
      <c r="B32" s="17" t="s">
        <v>166</v>
      </c>
      <c r="C32" s="17" t="s">
        <v>102</v>
      </c>
      <c r="D32" s="17" t="s">
        <v>167</v>
      </c>
      <c r="E32" s="14" t="s">
        <v>50</v>
      </c>
      <c r="F32" s="14" t="s">
        <v>104</v>
      </c>
      <c r="G32" s="17" t="s">
        <v>105</v>
      </c>
      <c r="H32" s="17" t="s">
        <v>17</v>
      </c>
      <c r="I32" s="17" t="s">
        <v>18</v>
      </c>
      <c r="J32" s="17" t="s">
        <v>106</v>
      </c>
      <c r="K32" s="17" t="s">
        <v>107</v>
      </c>
      <c r="L32" s="17" t="s">
        <v>148</v>
      </c>
      <c r="M32" s="14"/>
      <c r="N32" s="14"/>
      <c r="O32" s="14"/>
      <c r="P32" s="14"/>
    </row>
    <row r="33" spans="1:16" ht="30" customHeight="1" x14ac:dyDescent="0.25">
      <c r="A33" s="16"/>
      <c r="B33" s="17"/>
      <c r="C33" s="17"/>
      <c r="D33" s="17"/>
      <c r="E33" s="14" t="s">
        <v>51</v>
      </c>
      <c r="F33" s="14" t="s">
        <v>129</v>
      </c>
      <c r="G33" s="17"/>
      <c r="H33" s="17"/>
      <c r="I33" s="17"/>
      <c r="J33" s="17"/>
      <c r="K33" s="17"/>
      <c r="L33" s="17"/>
      <c r="M33" s="14"/>
      <c r="N33" s="14"/>
      <c r="O33" s="14"/>
      <c r="P33" s="14"/>
    </row>
    <row r="34" spans="1:16" ht="30" customHeight="1" x14ac:dyDescent="0.25">
      <c r="A34" s="16" t="s">
        <v>144</v>
      </c>
      <c r="B34" s="17" t="s">
        <v>169</v>
      </c>
      <c r="C34" s="17" t="s">
        <v>102</v>
      </c>
      <c r="D34" s="17" t="s">
        <v>168</v>
      </c>
      <c r="E34" s="14" t="s">
        <v>50</v>
      </c>
      <c r="F34" s="14" t="s">
        <v>170</v>
      </c>
      <c r="G34" s="17" t="s">
        <v>105</v>
      </c>
      <c r="H34" s="17" t="s">
        <v>17</v>
      </c>
      <c r="I34" s="17" t="s">
        <v>18</v>
      </c>
      <c r="J34" s="17" t="s">
        <v>106</v>
      </c>
      <c r="K34" s="17" t="s">
        <v>107</v>
      </c>
      <c r="L34" s="17" t="s">
        <v>148</v>
      </c>
      <c r="M34" s="14"/>
      <c r="N34" s="14"/>
      <c r="O34" s="14"/>
      <c r="P34" s="14"/>
    </row>
    <row r="35" spans="1:16" ht="30" customHeight="1" x14ac:dyDescent="0.25">
      <c r="A35" s="16"/>
      <c r="B35" s="17"/>
      <c r="C35" s="17"/>
      <c r="D35" s="17"/>
      <c r="E35" s="14" t="s">
        <v>51</v>
      </c>
      <c r="F35" s="14" t="s">
        <v>134</v>
      </c>
      <c r="G35" s="17"/>
      <c r="H35" s="17"/>
      <c r="I35" s="17"/>
      <c r="J35" s="17"/>
      <c r="K35" s="17"/>
      <c r="L35" s="17"/>
      <c r="M35" s="14"/>
      <c r="N35" s="14"/>
      <c r="O35" s="14"/>
      <c r="P35" s="14"/>
    </row>
    <row r="36" spans="1:16" ht="30" customHeight="1" x14ac:dyDescent="0.25">
      <c r="A36" s="16" t="s">
        <v>145</v>
      </c>
      <c r="B36" s="17" t="s">
        <v>171</v>
      </c>
      <c r="C36" s="17" t="s">
        <v>102</v>
      </c>
      <c r="D36" s="17" t="s">
        <v>172</v>
      </c>
      <c r="E36" s="14" t="s">
        <v>50</v>
      </c>
      <c r="F36" s="14" t="s">
        <v>170</v>
      </c>
      <c r="G36" s="17" t="s">
        <v>105</v>
      </c>
      <c r="H36" s="17" t="s">
        <v>17</v>
      </c>
      <c r="I36" s="17" t="s">
        <v>18</v>
      </c>
      <c r="J36" s="17" t="s">
        <v>106</v>
      </c>
      <c r="K36" s="17" t="s">
        <v>107</v>
      </c>
      <c r="L36" s="17" t="s">
        <v>148</v>
      </c>
      <c r="M36" s="14"/>
      <c r="N36" s="14"/>
      <c r="O36" s="14"/>
      <c r="P36" s="14"/>
    </row>
    <row r="37" spans="1:16" ht="30" customHeight="1" x14ac:dyDescent="0.25">
      <c r="A37" s="16"/>
      <c r="B37" s="17"/>
      <c r="C37" s="17"/>
      <c r="D37" s="17"/>
      <c r="E37" s="14" t="s">
        <v>51</v>
      </c>
      <c r="F37" s="14" t="s">
        <v>123</v>
      </c>
      <c r="G37" s="17"/>
      <c r="H37" s="17"/>
      <c r="I37" s="17"/>
      <c r="J37" s="17"/>
      <c r="K37" s="17"/>
      <c r="L37" s="17"/>
      <c r="M37" s="14"/>
      <c r="N37" s="14"/>
      <c r="O37" s="14"/>
      <c r="P37" s="14"/>
    </row>
    <row r="38" spans="1:16" ht="30" customHeight="1" x14ac:dyDescent="0.25">
      <c r="A38" s="16" t="s">
        <v>146</v>
      </c>
      <c r="B38" s="17" t="s">
        <v>173</v>
      </c>
      <c r="C38" s="17" t="s">
        <v>102</v>
      </c>
      <c r="D38" s="17" t="s">
        <v>174</v>
      </c>
      <c r="E38" s="14" t="s">
        <v>32</v>
      </c>
      <c r="F38" s="14" t="s">
        <v>175</v>
      </c>
      <c r="G38" s="17" t="s">
        <v>105</v>
      </c>
      <c r="H38" s="17" t="s">
        <v>17</v>
      </c>
      <c r="I38" s="17" t="s">
        <v>18</v>
      </c>
      <c r="J38" s="17" t="s">
        <v>106</v>
      </c>
      <c r="K38" s="17" t="s">
        <v>107</v>
      </c>
      <c r="L38" s="17" t="s">
        <v>148</v>
      </c>
      <c r="M38" s="14"/>
      <c r="N38" s="14"/>
      <c r="O38" s="14"/>
      <c r="P38" s="14"/>
    </row>
    <row r="39" spans="1:16" ht="30" customHeight="1" x14ac:dyDescent="0.25">
      <c r="A39" s="16"/>
      <c r="B39" s="17"/>
      <c r="C39" s="17"/>
      <c r="D39" s="17"/>
      <c r="E39" s="14" t="s">
        <v>50</v>
      </c>
      <c r="F39" s="14" t="s">
        <v>115</v>
      </c>
      <c r="G39" s="17"/>
      <c r="H39" s="17"/>
      <c r="I39" s="17"/>
      <c r="J39" s="17"/>
      <c r="K39" s="17"/>
      <c r="L39" s="17"/>
      <c r="M39" s="14"/>
      <c r="N39" s="14"/>
      <c r="O39" s="14"/>
      <c r="P39" s="14"/>
    </row>
    <row r="40" spans="1:16" ht="30" customHeight="1" x14ac:dyDescent="0.25">
      <c r="A40" s="16" t="s">
        <v>147</v>
      </c>
      <c r="B40" s="17" t="s">
        <v>180</v>
      </c>
      <c r="C40" s="17" t="s">
        <v>102</v>
      </c>
      <c r="D40" s="17" t="s">
        <v>184</v>
      </c>
      <c r="E40" s="14" t="s">
        <v>50</v>
      </c>
      <c r="F40" s="14" t="s">
        <v>158</v>
      </c>
      <c r="G40" s="17" t="s">
        <v>105</v>
      </c>
      <c r="H40" s="17" t="s">
        <v>17</v>
      </c>
      <c r="I40" s="17" t="s">
        <v>18</v>
      </c>
      <c r="J40" s="17" t="s">
        <v>106</v>
      </c>
      <c r="K40" s="17" t="s">
        <v>107</v>
      </c>
      <c r="L40" s="17" t="s">
        <v>148</v>
      </c>
      <c r="M40" s="14"/>
      <c r="N40" s="14"/>
      <c r="O40" s="14"/>
      <c r="P40" s="14"/>
    </row>
    <row r="41" spans="1:16" ht="30" customHeight="1" x14ac:dyDescent="0.25">
      <c r="A41" s="16"/>
      <c r="B41" s="17"/>
      <c r="C41" s="17"/>
      <c r="D41" s="17"/>
      <c r="E41" s="14" t="s">
        <v>51</v>
      </c>
      <c r="F41" s="14" t="s">
        <v>127</v>
      </c>
      <c r="G41" s="17"/>
      <c r="H41" s="17"/>
      <c r="I41" s="17"/>
      <c r="J41" s="17"/>
      <c r="K41" s="17"/>
      <c r="L41" s="17"/>
      <c r="M41" s="14"/>
      <c r="N41" s="14"/>
      <c r="O41" s="14"/>
      <c r="P41" s="14"/>
    </row>
    <row r="42" spans="1:16" ht="30" customHeight="1" x14ac:dyDescent="0.25">
      <c r="A42" s="16" t="s">
        <v>176</v>
      </c>
      <c r="B42" s="17" t="s">
        <v>183</v>
      </c>
      <c r="C42" s="17" t="s">
        <v>102</v>
      </c>
      <c r="D42" s="17" t="s">
        <v>185</v>
      </c>
      <c r="E42" s="14" t="s">
        <v>32</v>
      </c>
      <c r="F42" s="14" t="s">
        <v>130</v>
      </c>
      <c r="G42" s="17" t="s">
        <v>105</v>
      </c>
      <c r="H42" s="17" t="s">
        <v>17</v>
      </c>
      <c r="I42" s="17" t="s">
        <v>18</v>
      </c>
      <c r="J42" s="17" t="s">
        <v>106</v>
      </c>
      <c r="K42" s="17" t="s">
        <v>107</v>
      </c>
      <c r="L42" s="17" t="s">
        <v>148</v>
      </c>
      <c r="M42" s="14"/>
      <c r="N42" s="14"/>
      <c r="O42" s="14"/>
      <c r="P42" s="14"/>
    </row>
    <row r="43" spans="1:16" ht="30" customHeight="1" x14ac:dyDescent="0.25">
      <c r="A43" s="16"/>
      <c r="B43" s="17"/>
      <c r="C43" s="17"/>
      <c r="D43" s="17"/>
      <c r="E43" s="14" t="s">
        <v>49</v>
      </c>
      <c r="F43" s="14" t="s">
        <v>139</v>
      </c>
      <c r="G43" s="17"/>
      <c r="H43" s="17"/>
      <c r="I43" s="17"/>
      <c r="J43" s="17"/>
      <c r="K43" s="17"/>
      <c r="L43" s="17"/>
      <c r="M43" s="14"/>
      <c r="N43" s="14"/>
      <c r="O43" s="14"/>
      <c r="P43" s="14"/>
    </row>
    <row r="44" spans="1:16" ht="30" customHeight="1" x14ac:dyDescent="0.25">
      <c r="A44" s="16" t="s">
        <v>177</v>
      </c>
      <c r="B44" s="17" t="s">
        <v>181</v>
      </c>
      <c r="C44" s="17" t="s">
        <v>102</v>
      </c>
      <c r="D44" s="17" t="s">
        <v>186</v>
      </c>
      <c r="E44" s="14" t="s">
        <v>50</v>
      </c>
      <c r="F44" s="14" t="s">
        <v>111</v>
      </c>
      <c r="G44" s="17" t="s">
        <v>105</v>
      </c>
      <c r="H44" s="17" t="s">
        <v>17</v>
      </c>
      <c r="I44" s="17" t="s">
        <v>18</v>
      </c>
      <c r="J44" s="17" t="s">
        <v>106</v>
      </c>
      <c r="K44" s="17" t="s">
        <v>107</v>
      </c>
      <c r="L44" s="17" t="s">
        <v>148</v>
      </c>
      <c r="M44" s="14"/>
      <c r="N44" s="14"/>
      <c r="O44" s="14"/>
      <c r="P44" s="14"/>
    </row>
    <row r="45" spans="1:16" ht="30" customHeight="1" x14ac:dyDescent="0.25">
      <c r="A45" s="16"/>
      <c r="B45" s="17"/>
      <c r="C45" s="17"/>
      <c r="D45" s="17"/>
      <c r="E45" s="14" t="s">
        <v>49</v>
      </c>
      <c r="F45" s="14" t="s">
        <v>151</v>
      </c>
      <c r="G45" s="17"/>
      <c r="H45" s="17"/>
      <c r="I45" s="17"/>
      <c r="J45" s="17"/>
      <c r="K45" s="17"/>
      <c r="L45" s="17"/>
      <c r="M45" s="14"/>
      <c r="N45" s="14"/>
      <c r="O45" s="14"/>
      <c r="P45" s="14"/>
    </row>
    <row r="46" spans="1:16" s="6" customFormat="1" ht="30" customHeight="1" x14ac:dyDescent="0.25">
      <c r="A46" s="16" t="s">
        <v>178</v>
      </c>
      <c r="B46" s="17" t="s">
        <v>182</v>
      </c>
      <c r="C46" s="17" t="s">
        <v>102</v>
      </c>
      <c r="D46" s="17" t="s">
        <v>187</v>
      </c>
      <c r="E46" s="21" t="s">
        <v>48</v>
      </c>
      <c r="F46" s="21" t="s">
        <v>191</v>
      </c>
      <c r="G46" s="17" t="s">
        <v>105</v>
      </c>
      <c r="H46" s="17" t="s">
        <v>17</v>
      </c>
      <c r="I46" s="17" t="s">
        <v>18</v>
      </c>
      <c r="J46" s="17" t="s">
        <v>106</v>
      </c>
      <c r="K46" s="17" t="s">
        <v>107</v>
      </c>
      <c r="L46" s="17" t="s">
        <v>148</v>
      </c>
      <c r="M46" s="21"/>
      <c r="N46" s="21"/>
      <c r="O46" s="21"/>
      <c r="P46" s="21"/>
    </row>
    <row r="47" spans="1:16" ht="30" customHeight="1" x14ac:dyDescent="0.25">
      <c r="A47" s="16"/>
      <c r="B47" s="17"/>
      <c r="C47" s="17"/>
      <c r="D47" s="17"/>
      <c r="E47" s="14" t="s">
        <v>51</v>
      </c>
      <c r="F47" s="14" t="s">
        <v>138</v>
      </c>
      <c r="G47" s="17"/>
      <c r="H47" s="17"/>
      <c r="I47" s="17"/>
      <c r="J47" s="17"/>
      <c r="K47" s="17"/>
      <c r="L47" s="17"/>
      <c r="M47" s="14"/>
      <c r="N47" s="14"/>
      <c r="O47" s="14"/>
      <c r="P47" s="14"/>
    </row>
    <row r="48" spans="1:16" ht="30" customHeight="1" x14ac:dyDescent="0.25">
      <c r="A48" s="16" t="s">
        <v>179</v>
      </c>
      <c r="B48" s="17" t="s">
        <v>197</v>
      </c>
      <c r="C48" s="17" t="s">
        <v>102</v>
      </c>
      <c r="D48" s="17" t="s">
        <v>198</v>
      </c>
      <c r="E48" s="14" t="s">
        <v>50</v>
      </c>
      <c r="F48" s="14" t="s">
        <v>160</v>
      </c>
      <c r="G48" s="17" t="s">
        <v>105</v>
      </c>
      <c r="H48" s="17" t="s">
        <v>17</v>
      </c>
      <c r="I48" s="17" t="s">
        <v>18</v>
      </c>
      <c r="J48" s="17" t="s">
        <v>106</v>
      </c>
      <c r="K48" s="17" t="s">
        <v>107</v>
      </c>
      <c r="L48" s="17" t="s">
        <v>148</v>
      </c>
      <c r="M48" s="14"/>
      <c r="N48" s="14"/>
      <c r="O48" s="14"/>
      <c r="P48" s="14"/>
    </row>
    <row r="49" spans="1:16" ht="30" customHeight="1" x14ac:dyDescent="0.25">
      <c r="A49" s="16"/>
      <c r="B49" s="17"/>
      <c r="C49" s="17"/>
      <c r="D49" s="17"/>
      <c r="E49" s="14" t="s">
        <v>49</v>
      </c>
      <c r="F49" s="14" t="s">
        <v>126</v>
      </c>
      <c r="G49" s="17"/>
      <c r="H49" s="17"/>
      <c r="I49" s="17"/>
      <c r="J49" s="17"/>
      <c r="K49" s="17"/>
      <c r="L49" s="17"/>
      <c r="M49" s="14"/>
      <c r="N49" s="14"/>
      <c r="O49" s="14"/>
      <c r="P49" s="14"/>
    </row>
    <row r="50" spans="1:16" ht="30" customHeight="1" x14ac:dyDescent="0.25">
      <c r="A50" s="16" t="s">
        <v>192</v>
      </c>
      <c r="B50" s="17" t="s">
        <v>199</v>
      </c>
      <c r="C50" s="17" t="s">
        <v>102</v>
      </c>
      <c r="D50" s="17" t="s">
        <v>204</v>
      </c>
      <c r="E50" s="14" t="s">
        <v>32</v>
      </c>
      <c r="F50" s="14" t="s">
        <v>110</v>
      </c>
      <c r="G50" s="17" t="s">
        <v>105</v>
      </c>
      <c r="H50" s="17" t="s">
        <v>17</v>
      </c>
      <c r="I50" s="17" t="s">
        <v>18</v>
      </c>
      <c r="J50" s="17" t="s">
        <v>106</v>
      </c>
      <c r="K50" s="17" t="s">
        <v>107</v>
      </c>
      <c r="L50" s="17" t="s">
        <v>148</v>
      </c>
      <c r="M50" s="14"/>
      <c r="N50" s="14"/>
      <c r="O50" s="14"/>
      <c r="P50" s="14"/>
    </row>
    <row r="51" spans="1:16" ht="30" customHeight="1" x14ac:dyDescent="0.25">
      <c r="A51" s="16" t="s">
        <v>193</v>
      </c>
      <c r="B51" s="17"/>
      <c r="C51" s="17"/>
      <c r="D51" s="17"/>
      <c r="E51" s="14" t="s">
        <v>48</v>
      </c>
      <c r="F51" s="14" t="s">
        <v>153</v>
      </c>
      <c r="G51" s="17"/>
      <c r="H51" s="17"/>
      <c r="I51" s="17"/>
      <c r="J51" s="17"/>
      <c r="K51" s="17"/>
      <c r="L51" s="17"/>
      <c r="M51" s="14"/>
      <c r="N51" s="14"/>
      <c r="O51" s="14"/>
      <c r="P51" s="14"/>
    </row>
    <row r="52" spans="1:16" ht="30" customHeight="1" x14ac:dyDescent="0.25">
      <c r="A52" s="16" t="s">
        <v>193</v>
      </c>
      <c r="B52" s="17" t="s">
        <v>200</v>
      </c>
      <c r="C52" s="17" t="s">
        <v>102</v>
      </c>
      <c r="D52" s="17" t="s">
        <v>201</v>
      </c>
      <c r="E52" s="14" t="s">
        <v>32</v>
      </c>
      <c r="F52" s="14" t="s">
        <v>175</v>
      </c>
      <c r="G52" s="17" t="s">
        <v>105</v>
      </c>
      <c r="H52" s="17" t="s">
        <v>17</v>
      </c>
      <c r="I52" s="17" t="s">
        <v>18</v>
      </c>
      <c r="J52" s="17" t="s">
        <v>106</v>
      </c>
      <c r="K52" s="17" t="s">
        <v>107</v>
      </c>
      <c r="L52" s="17" t="s">
        <v>148</v>
      </c>
      <c r="M52" s="14"/>
      <c r="N52" s="14"/>
      <c r="O52" s="14"/>
      <c r="P52" s="14"/>
    </row>
    <row r="53" spans="1:16" ht="30" customHeight="1" x14ac:dyDescent="0.25">
      <c r="A53" s="16" t="s">
        <v>195</v>
      </c>
      <c r="B53" s="17"/>
      <c r="C53" s="17"/>
      <c r="D53" s="17"/>
      <c r="E53" s="14" t="s">
        <v>48</v>
      </c>
      <c r="F53" s="14" t="s">
        <v>191</v>
      </c>
      <c r="G53" s="17"/>
      <c r="H53" s="17"/>
      <c r="I53" s="17"/>
      <c r="J53" s="17"/>
      <c r="K53" s="17"/>
      <c r="L53" s="17"/>
      <c r="M53" s="14"/>
      <c r="N53" s="14"/>
      <c r="O53" s="14"/>
      <c r="P53" s="14"/>
    </row>
    <row r="54" spans="1:16" ht="30" customHeight="1" x14ac:dyDescent="0.25">
      <c r="A54" s="16" t="s">
        <v>194</v>
      </c>
      <c r="B54" s="17" t="s">
        <v>202</v>
      </c>
      <c r="C54" s="17" t="s">
        <v>102</v>
      </c>
      <c r="D54" s="17" t="s">
        <v>203</v>
      </c>
      <c r="E54" s="14" t="s">
        <v>32</v>
      </c>
      <c r="F54" s="14" t="s">
        <v>110</v>
      </c>
      <c r="G54" s="17" t="s">
        <v>105</v>
      </c>
      <c r="H54" s="17" t="s">
        <v>17</v>
      </c>
      <c r="I54" s="17" t="s">
        <v>18</v>
      </c>
      <c r="J54" s="17" t="s">
        <v>106</v>
      </c>
      <c r="K54" s="17" t="s">
        <v>107</v>
      </c>
      <c r="L54" s="17" t="s">
        <v>148</v>
      </c>
      <c r="M54" s="14"/>
      <c r="N54" s="14"/>
      <c r="O54" s="14"/>
      <c r="P54" s="14"/>
    </row>
    <row r="55" spans="1:16" ht="30" customHeight="1" x14ac:dyDescent="0.25">
      <c r="A55" s="16"/>
      <c r="B55" s="17"/>
      <c r="C55" s="17"/>
      <c r="D55" s="17"/>
      <c r="E55" s="14" t="s">
        <v>49</v>
      </c>
      <c r="F55" s="14" t="s">
        <v>120</v>
      </c>
      <c r="G55" s="17"/>
      <c r="H55" s="17"/>
      <c r="I55" s="17"/>
      <c r="J55" s="17"/>
      <c r="K55" s="17"/>
      <c r="L55" s="17"/>
      <c r="M55" s="14"/>
      <c r="N55" s="14"/>
      <c r="O55" s="14"/>
      <c r="P55" s="14"/>
    </row>
    <row r="56" spans="1:16" ht="30" customHeight="1" x14ac:dyDescent="0.25">
      <c r="A56" s="11" t="s">
        <v>195</v>
      </c>
      <c r="B56" s="10"/>
      <c r="C56" s="10"/>
      <c r="D56" s="10"/>
      <c r="G56" s="10"/>
      <c r="H56" s="10"/>
      <c r="I56" s="10"/>
      <c r="J56" s="10"/>
      <c r="K56" s="10"/>
      <c r="L56" s="10"/>
    </row>
    <row r="57" spans="1:16" ht="30" customHeight="1" x14ac:dyDescent="0.25">
      <c r="A57" s="11"/>
      <c r="B57" s="10"/>
      <c r="C57" s="10"/>
      <c r="D57" s="10"/>
      <c r="G57" s="10"/>
      <c r="H57" s="10"/>
      <c r="I57" s="10"/>
      <c r="J57" s="10"/>
      <c r="K57" s="10"/>
      <c r="L57" s="10"/>
    </row>
    <row r="58" spans="1:16" ht="30" customHeight="1" x14ac:dyDescent="0.25">
      <c r="A58" s="11" t="s">
        <v>196</v>
      </c>
      <c r="B58" s="10"/>
      <c r="C58" s="10"/>
      <c r="D58" s="10"/>
      <c r="G58" s="10"/>
      <c r="H58" s="10"/>
      <c r="I58" s="10"/>
      <c r="J58" s="10"/>
      <c r="K58" s="10"/>
      <c r="L58" s="10"/>
    </row>
    <row r="59" spans="1:16" ht="30" customHeight="1" x14ac:dyDescent="0.25">
      <c r="A59" s="11"/>
      <c r="B59" s="10"/>
      <c r="C59" s="10"/>
      <c r="D59" s="10"/>
      <c r="G59" s="10"/>
      <c r="H59" s="10"/>
      <c r="I59" s="10"/>
      <c r="J59" s="10"/>
      <c r="K59" s="10"/>
      <c r="L59" s="10"/>
    </row>
    <row r="60" spans="1:16" ht="30" customHeight="1" x14ac:dyDescent="0.25">
      <c r="A60" s="11"/>
      <c r="B60" s="10"/>
      <c r="C60" s="10"/>
      <c r="D60" s="10"/>
      <c r="G60" s="10"/>
      <c r="H60" s="10"/>
      <c r="I60" s="10"/>
      <c r="J60" s="10"/>
      <c r="K60" s="10"/>
      <c r="L60" s="10"/>
    </row>
    <row r="61" spans="1:16" ht="30" customHeight="1" x14ac:dyDescent="0.25">
      <c r="A61" s="11"/>
      <c r="B61" s="10"/>
      <c r="C61" s="10"/>
      <c r="D61" s="10"/>
      <c r="G61" s="10"/>
      <c r="H61" s="10"/>
      <c r="I61" s="10"/>
      <c r="J61" s="10"/>
      <c r="K61" s="10"/>
      <c r="L61" s="10"/>
    </row>
    <row r="62" spans="1:16" ht="30" customHeight="1" x14ac:dyDescent="0.25">
      <c r="A62" s="11"/>
      <c r="B62" s="10"/>
      <c r="C62" s="10"/>
      <c r="D62" s="10"/>
      <c r="G62" s="10"/>
      <c r="H62" s="10"/>
      <c r="I62" s="10"/>
      <c r="J62" s="10"/>
      <c r="K62" s="10"/>
      <c r="L62" s="10"/>
    </row>
    <row r="63" spans="1:16" ht="30" customHeight="1" x14ac:dyDescent="0.25">
      <c r="A63" s="11"/>
      <c r="B63" s="10"/>
      <c r="C63" s="10"/>
      <c r="D63" s="10"/>
      <c r="G63" s="10"/>
      <c r="H63" s="10"/>
      <c r="I63" s="10"/>
      <c r="J63" s="10"/>
      <c r="K63" s="10"/>
      <c r="L63" s="10"/>
    </row>
    <row r="64" spans="1:16" x14ac:dyDescent="0.25">
      <c r="B64" s="10"/>
      <c r="C64" s="10"/>
      <c r="D64" s="10"/>
      <c r="G64" s="10"/>
      <c r="H64" s="10"/>
      <c r="I64" s="10"/>
      <c r="J64" s="10"/>
      <c r="K64" s="10"/>
      <c r="L64" s="10"/>
    </row>
    <row r="65" spans="2:12" x14ac:dyDescent="0.25">
      <c r="B65" s="10"/>
      <c r="C65" s="10"/>
      <c r="D65" s="10"/>
      <c r="G65" s="10"/>
      <c r="H65" s="10"/>
      <c r="I65" s="10"/>
      <c r="J65" s="10"/>
      <c r="K65" s="10"/>
      <c r="L65" s="10"/>
    </row>
    <row r="66" spans="2:12" x14ac:dyDescent="0.25">
      <c r="B66" s="10"/>
      <c r="D66" s="10"/>
      <c r="G66" s="10"/>
      <c r="H66" s="10"/>
      <c r="I66" s="10"/>
      <c r="J66" s="10"/>
      <c r="K66" s="10"/>
      <c r="L66" s="10"/>
    </row>
    <row r="67" spans="2:12" x14ac:dyDescent="0.25">
      <c r="B67" s="10"/>
      <c r="D67" s="10"/>
      <c r="G67" s="10"/>
      <c r="H67" s="10"/>
      <c r="I67" s="10"/>
      <c r="J67" s="10"/>
      <c r="K67" s="10"/>
      <c r="L67" s="10"/>
    </row>
    <row r="68" spans="2:12" x14ac:dyDescent="0.25">
      <c r="B68" s="10"/>
      <c r="D68" s="10"/>
      <c r="G68" s="10"/>
      <c r="H68" s="10"/>
      <c r="I68" s="10"/>
      <c r="J68" s="10"/>
      <c r="K68" s="10"/>
      <c r="L68" s="10"/>
    </row>
    <row r="69" spans="2:12" x14ac:dyDescent="0.25">
      <c r="B69" s="10"/>
      <c r="D69" s="10"/>
      <c r="G69" s="10"/>
      <c r="H69" s="10"/>
      <c r="I69" s="10"/>
      <c r="J69" s="10"/>
      <c r="K69" s="10"/>
      <c r="L69" s="10"/>
    </row>
    <row r="70" spans="2:12" x14ac:dyDescent="0.25">
      <c r="B70" s="10"/>
      <c r="D70" s="10"/>
      <c r="G70" s="10"/>
      <c r="H70" s="10"/>
      <c r="I70" s="10"/>
      <c r="J70" s="10"/>
      <c r="K70" s="10"/>
      <c r="L70" s="10"/>
    </row>
    <row r="71" spans="2:12" x14ac:dyDescent="0.25">
      <c r="B71" s="10"/>
      <c r="D71" s="10"/>
      <c r="G71" s="10"/>
      <c r="H71" s="10"/>
      <c r="I71" s="10"/>
      <c r="J71" s="10"/>
      <c r="K71" s="10"/>
      <c r="L71" s="10"/>
    </row>
    <row r="72" spans="2:12" x14ac:dyDescent="0.25">
      <c r="B72" s="10"/>
      <c r="D72" s="10"/>
      <c r="G72" s="10"/>
      <c r="H72" s="10"/>
      <c r="I72" s="10"/>
      <c r="J72" s="10"/>
      <c r="K72" s="10"/>
      <c r="L72" s="10"/>
    </row>
    <row r="73" spans="2:12" x14ac:dyDescent="0.25">
      <c r="B73" s="10"/>
      <c r="D73" s="10"/>
      <c r="G73" s="10"/>
      <c r="H73" s="10"/>
      <c r="I73" s="10"/>
      <c r="J73" s="10"/>
      <c r="K73" s="10"/>
      <c r="L73" s="10"/>
    </row>
    <row r="74" spans="2:12" x14ac:dyDescent="0.25">
      <c r="B74" s="10"/>
      <c r="D74" s="10"/>
      <c r="G74" s="10"/>
      <c r="H74" s="10"/>
      <c r="I74" s="10"/>
      <c r="J74" s="10"/>
      <c r="K74" s="10"/>
      <c r="L74" s="10"/>
    </row>
    <row r="75" spans="2:12" x14ac:dyDescent="0.25">
      <c r="B75" s="10"/>
      <c r="D75" s="10"/>
      <c r="G75" s="10"/>
      <c r="H75" s="10"/>
      <c r="I75" s="10"/>
      <c r="J75" s="10"/>
      <c r="K75" s="10"/>
      <c r="L75" s="10"/>
    </row>
    <row r="76" spans="2:12" x14ac:dyDescent="0.25">
      <c r="B76" s="10"/>
      <c r="D76" s="10"/>
      <c r="G76" s="10"/>
      <c r="H76" s="10"/>
      <c r="I76" s="10"/>
      <c r="J76" s="10"/>
      <c r="K76" s="10"/>
      <c r="L76" s="10"/>
    </row>
    <row r="77" spans="2:12" x14ac:dyDescent="0.25">
      <c r="B77" s="10"/>
      <c r="D77" s="10"/>
      <c r="G77" s="10"/>
      <c r="H77" s="10"/>
      <c r="I77" s="10"/>
      <c r="J77" s="10"/>
      <c r="K77" s="10"/>
      <c r="L77" s="10"/>
    </row>
    <row r="78" spans="2:12" x14ac:dyDescent="0.25">
      <c r="B78" s="10"/>
      <c r="D78" s="10"/>
      <c r="G78" s="10"/>
      <c r="H78" s="10"/>
      <c r="I78" s="10"/>
      <c r="J78" s="10"/>
      <c r="K78" s="10"/>
      <c r="L78" s="10"/>
    </row>
    <row r="79" spans="2:12" s="4" customFormat="1" ht="15.75" x14ac:dyDescent="0.25">
      <c r="B79" s="10"/>
      <c r="D79" s="10"/>
      <c r="E79" s="6"/>
      <c r="G79" s="10"/>
      <c r="H79" s="10"/>
      <c r="I79" s="10"/>
      <c r="J79" s="10"/>
      <c r="K79" s="10"/>
      <c r="L79" s="10"/>
    </row>
    <row r="80" spans="2:12" x14ac:dyDescent="0.25">
      <c r="B80" s="10"/>
      <c r="D80" s="10"/>
      <c r="G80" s="10"/>
      <c r="H80" s="10"/>
      <c r="I80" s="10"/>
      <c r="J80" s="10"/>
      <c r="K80" s="10"/>
      <c r="L80" s="10"/>
    </row>
    <row r="81" spans="2:12" x14ac:dyDescent="0.25">
      <c r="B81" s="10"/>
      <c r="D81" s="10"/>
      <c r="G81" s="10"/>
      <c r="H81" s="10"/>
      <c r="I81" s="10"/>
      <c r="J81" s="10"/>
      <c r="K81" s="10"/>
      <c r="L81" s="10"/>
    </row>
    <row r="82" spans="2:12" x14ac:dyDescent="0.25">
      <c r="B82" s="10"/>
      <c r="D82" s="10"/>
      <c r="G82" s="10"/>
      <c r="H82" s="10"/>
      <c r="I82" s="10"/>
      <c r="J82" s="10"/>
      <c r="K82" s="10"/>
      <c r="L82" s="10"/>
    </row>
    <row r="83" spans="2:12" x14ac:dyDescent="0.25">
      <c r="B83" s="10"/>
      <c r="D83" s="10"/>
      <c r="G83" s="10"/>
      <c r="H83" s="10"/>
      <c r="I83" s="10"/>
      <c r="J83" s="10"/>
      <c r="K83" s="10"/>
      <c r="L83" s="10"/>
    </row>
    <row r="84" spans="2:12" x14ac:dyDescent="0.25">
      <c r="B84" s="10"/>
      <c r="D84" s="10"/>
      <c r="G84" s="10"/>
      <c r="H84" s="10"/>
      <c r="I84" s="10"/>
      <c r="J84" s="10"/>
      <c r="K84" s="10"/>
      <c r="L84" s="10"/>
    </row>
    <row r="85" spans="2:12" x14ac:dyDescent="0.25">
      <c r="B85" s="10"/>
      <c r="D85" s="10"/>
      <c r="G85" s="10"/>
      <c r="H85" s="10"/>
      <c r="I85" s="10"/>
      <c r="J85" s="10"/>
      <c r="K85" s="10"/>
      <c r="L85" s="10"/>
    </row>
    <row r="86" spans="2:12" x14ac:dyDescent="0.25">
      <c r="B86" s="10"/>
      <c r="D86" s="10"/>
      <c r="G86" s="10"/>
      <c r="H86" s="10"/>
      <c r="I86" s="10"/>
      <c r="J86" s="10"/>
      <c r="K86" s="10"/>
      <c r="L86" s="10"/>
    </row>
    <row r="87" spans="2:12" x14ac:dyDescent="0.25">
      <c r="B87" s="10"/>
      <c r="D87" s="10"/>
      <c r="G87" s="10"/>
      <c r="H87" s="10"/>
      <c r="I87" s="10"/>
      <c r="J87" s="10"/>
      <c r="K87" s="10"/>
      <c r="L87" s="10"/>
    </row>
    <row r="88" spans="2:12" x14ac:dyDescent="0.25">
      <c r="B88" s="10"/>
      <c r="D88" s="10"/>
      <c r="G88" s="10"/>
      <c r="H88" s="10"/>
      <c r="I88" s="10"/>
      <c r="J88" s="10"/>
      <c r="K88" s="10"/>
      <c r="L88" s="10"/>
    </row>
    <row r="89" spans="2:12" x14ac:dyDescent="0.25">
      <c r="B89" s="10"/>
      <c r="D89" s="10"/>
      <c r="G89" s="10"/>
      <c r="H89" s="10"/>
      <c r="I89" s="10"/>
      <c r="J89" s="10"/>
      <c r="K89" s="10"/>
      <c r="L89" s="10"/>
    </row>
    <row r="90" spans="2:12" x14ac:dyDescent="0.25">
      <c r="B90" s="10"/>
      <c r="D90" s="10"/>
      <c r="G90" s="10"/>
      <c r="H90" s="10"/>
      <c r="L90" s="10"/>
    </row>
    <row r="91" spans="2:12" x14ac:dyDescent="0.25">
      <c r="B91" s="10"/>
      <c r="D91" s="10"/>
      <c r="G91" s="10"/>
      <c r="H91" s="10"/>
      <c r="L91" s="10"/>
    </row>
    <row r="93" spans="2:12" x14ac:dyDescent="0.25">
      <c r="H93" s="10"/>
    </row>
    <row r="94" spans="2:12" x14ac:dyDescent="0.25">
      <c r="H94" s="10"/>
    </row>
    <row r="95" spans="2:12" x14ac:dyDescent="0.25">
      <c r="H95" s="10"/>
    </row>
    <row r="96" spans="2:12" x14ac:dyDescent="0.25">
      <c r="H96" s="10"/>
    </row>
    <row r="97" spans="8:8" x14ac:dyDescent="0.25">
      <c r="H97" s="10"/>
    </row>
  </sheetData>
  <mergeCells count="426">
    <mergeCell ref="A50:A51"/>
    <mergeCell ref="A52:A53"/>
    <mergeCell ref="A54:A55"/>
    <mergeCell ref="A56:A57"/>
    <mergeCell ref="A58:A59"/>
    <mergeCell ref="A60:A61"/>
    <mergeCell ref="A62:A63"/>
    <mergeCell ref="L90:L91"/>
    <mergeCell ref="C50:C51"/>
    <mergeCell ref="C52:C53"/>
    <mergeCell ref="C54:C55"/>
    <mergeCell ref="C56:C57"/>
    <mergeCell ref="C58:C59"/>
    <mergeCell ref="C60:C61"/>
    <mergeCell ref="C62:C63"/>
    <mergeCell ref="C64:C65"/>
    <mergeCell ref="K86:K87"/>
    <mergeCell ref="K88:K8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J86:J87"/>
    <mergeCell ref="J88:J89"/>
    <mergeCell ref="I68:I69"/>
    <mergeCell ref="I70:I71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H86:H87"/>
    <mergeCell ref="H88:H89"/>
    <mergeCell ref="H90:H9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B86:B87"/>
    <mergeCell ref="B88:B89"/>
    <mergeCell ref="B90:B91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N3:N7"/>
    <mergeCell ref="N9:N13"/>
    <mergeCell ref="N15:N19"/>
    <mergeCell ref="N21:N25"/>
    <mergeCell ref="N27:N31"/>
    <mergeCell ref="L8:L9"/>
    <mergeCell ref="L10:L11"/>
    <mergeCell ref="L12:L13"/>
    <mergeCell ref="L14:L15"/>
    <mergeCell ref="L16:L17"/>
    <mergeCell ref="L2:L3"/>
    <mergeCell ref="L4:L5"/>
    <mergeCell ref="J42:J43"/>
    <mergeCell ref="J44:J45"/>
    <mergeCell ref="J46:J47"/>
    <mergeCell ref="J48:J49"/>
    <mergeCell ref="K48:K49"/>
    <mergeCell ref="K46:K47"/>
    <mergeCell ref="K44:K45"/>
    <mergeCell ref="K42:K43"/>
    <mergeCell ref="L42:L43"/>
    <mergeCell ref="L44:L45"/>
    <mergeCell ref="L46:L47"/>
    <mergeCell ref="L48:L49"/>
    <mergeCell ref="L18:L19"/>
    <mergeCell ref="H18:H19"/>
    <mergeCell ref="I18:I19"/>
    <mergeCell ref="J18:J19"/>
    <mergeCell ref="K18:K19"/>
    <mergeCell ref="B48:B49"/>
    <mergeCell ref="C46:C47"/>
    <mergeCell ref="C48:C49"/>
    <mergeCell ref="D42:D43"/>
    <mergeCell ref="D44:D45"/>
    <mergeCell ref="D46:D47"/>
    <mergeCell ref="D48:D49"/>
    <mergeCell ref="G42:G43"/>
    <mergeCell ref="G44:G45"/>
    <mergeCell ref="G46:G47"/>
    <mergeCell ref="G48:G49"/>
    <mergeCell ref="H42:H43"/>
    <mergeCell ref="H44:H45"/>
    <mergeCell ref="H46:H47"/>
    <mergeCell ref="H48:H49"/>
    <mergeCell ref="I48:I49"/>
    <mergeCell ref="I46:I47"/>
    <mergeCell ref="I44:I45"/>
    <mergeCell ref="I42:I43"/>
    <mergeCell ref="J12:J13"/>
    <mergeCell ref="J14:J15"/>
    <mergeCell ref="J16:J17"/>
    <mergeCell ref="K8:K9"/>
    <mergeCell ref="K10:K11"/>
    <mergeCell ref="K12:K13"/>
    <mergeCell ref="K14:K15"/>
    <mergeCell ref="K16:K17"/>
    <mergeCell ref="A18:A19"/>
    <mergeCell ref="B18:B19"/>
    <mergeCell ref="C18:C19"/>
    <mergeCell ref="D18:D19"/>
    <mergeCell ref="G18:G19"/>
    <mergeCell ref="H16:H17"/>
    <mergeCell ref="H14:H15"/>
    <mergeCell ref="H12:H13"/>
    <mergeCell ref="H10:H11"/>
    <mergeCell ref="H8:H9"/>
    <mergeCell ref="I8:I9"/>
    <mergeCell ref="I10:I11"/>
    <mergeCell ref="I12:I13"/>
    <mergeCell ref="I14:I15"/>
    <mergeCell ref="I16:I17"/>
    <mergeCell ref="A16:A17"/>
    <mergeCell ref="B16:B17"/>
    <mergeCell ref="C16:C17"/>
    <mergeCell ref="D16:D17"/>
    <mergeCell ref="G8:G9"/>
    <mergeCell ref="G10:G11"/>
    <mergeCell ref="G12:G13"/>
    <mergeCell ref="G14:G15"/>
    <mergeCell ref="G16:G17"/>
    <mergeCell ref="D12:D13"/>
    <mergeCell ref="C12:C13"/>
    <mergeCell ref="B12:B13"/>
    <mergeCell ref="A12:A13"/>
    <mergeCell ref="A14:A15"/>
    <mergeCell ref="B14:B15"/>
    <mergeCell ref="C14:C15"/>
    <mergeCell ref="B8:B9"/>
    <mergeCell ref="D14:D15"/>
    <mergeCell ref="A8:A9"/>
    <mergeCell ref="A6:A7"/>
    <mergeCell ref="C8:C9"/>
    <mergeCell ref="D8:D9"/>
    <mergeCell ref="A10:A11"/>
    <mergeCell ref="B10:B11"/>
    <mergeCell ref="C10:C11"/>
    <mergeCell ref="D10:D11"/>
    <mergeCell ref="L6:L7"/>
    <mergeCell ref="K6:K7"/>
    <mergeCell ref="J6:J7"/>
    <mergeCell ref="I6:I7"/>
    <mergeCell ref="H6:H7"/>
    <mergeCell ref="G6:G7"/>
    <mergeCell ref="D6:D7"/>
    <mergeCell ref="C6:C7"/>
    <mergeCell ref="B6:B7"/>
    <mergeCell ref="J8:J9"/>
    <mergeCell ref="J10:J11"/>
    <mergeCell ref="A4:A5"/>
    <mergeCell ref="B4:B5"/>
    <mergeCell ref="C4:C5"/>
    <mergeCell ref="D4:D5"/>
    <mergeCell ref="G4:G5"/>
    <mergeCell ref="H4:H5"/>
    <mergeCell ref="I4:I5"/>
    <mergeCell ref="J4:J5"/>
    <mergeCell ref="K4:K5"/>
    <mergeCell ref="B2:B3"/>
    <mergeCell ref="A2:A3"/>
    <mergeCell ref="C2:C3"/>
    <mergeCell ref="D2:D3"/>
    <mergeCell ref="G2:G3"/>
    <mergeCell ref="H2:H3"/>
    <mergeCell ref="I2:I3"/>
    <mergeCell ref="J2:J3"/>
    <mergeCell ref="K2:K3"/>
    <mergeCell ref="D20:D21"/>
    <mergeCell ref="G20:G21"/>
    <mergeCell ref="H93:H97"/>
    <mergeCell ref="A42:A43"/>
    <mergeCell ref="B42:B43"/>
    <mergeCell ref="C42:C43"/>
    <mergeCell ref="A44:A45"/>
    <mergeCell ref="A46:A47"/>
    <mergeCell ref="A48:A49"/>
    <mergeCell ref="B44:B45"/>
    <mergeCell ref="B46:B47"/>
    <mergeCell ref="C44:C45"/>
    <mergeCell ref="D22:D23"/>
    <mergeCell ref="D24:D25"/>
    <mergeCell ref="A26:A27"/>
    <mergeCell ref="A28:A29"/>
    <mergeCell ref="A30:A31"/>
    <mergeCell ref="B28:B29"/>
    <mergeCell ref="B26:B27"/>
    <mergeCell ref="C26:C27"/>
    <mergeCell ref="C28:C29"/>
    <mergeCell ref="D50:D51"/>
    <mergeCell ref="D52:D53"/>
    <mergeCell ref="D54:D55"/>
    <mergeCell ref="B22:B23"/>
    <mergeCell ref="A22:A23"/>
    <mergeCell ref="A24:A25"/>
    <mergeCell ref="B24:B25"/>
    <mergeCell ref="C24:C25"/>
    <mergeCell ref="C22:C23"/>
    <mergeCell ref="C32:C33"/>
    <mergeCell ref="C34:C35"/>
    <mergeCell ref="A20:A21"/>
    <mergeCell ref="B20:B21"/>
    <mergeCell ref="C20:C21"/>
    <mergeCell ref="D26:D27"/>
    <mergeCell ref="D28:D29"/>
    <mergeCell ref="D30:D31"/>
    <mergeCell ref="D32:D33"/>
    <mergeCell ref="D34:D35"/>
    <mergeCell ref="A32:A33"/>
    <mergeCell ref="A34:A35"/>
    <mergeCell ref="B34:B35"/>
    <mergeCell ref="B32:B33"/>
    <mergeCell ref="B30:B31"/>
    <mergeCell ref="C30:C31"/>
    <mergeCell ref="G32:G33"/>
    <mergeCell ref="G34:G35"/>
    <mergeCell ref="H20:H21"/>
    <mergeCell ref="H22:H23"/>
    <mergeCell ref="H24:H25"/>
    <mergeCell ref="H26:H27"/>
    <mergeCell ref="H28:H29"/>
    <mergeCell ref="H30:H31"/>
    <mergeCell ref="H32:H33"/>
    <mergeCell ref="H34:H35"/>
    <mergeCell ref="G22:G23"/>
    <mergeCell ref="G24:G25"/>
    <mergeCell ref="G26:G27"/>
    <mergeCell ref="G28:G29"/>
    <mergeCell ref="G30:G31"/>
    <mergeCell ref="J22:J23"/>
    <mergeCell ref="J24:J25"/>
    <mergeCell ref="J26:J27"/>
    <mergeCell ref="J28:J29"/>
    <mergeCell ref="J30:J31"/>
    <mergeCell ref="J32:J33"/>
    <mergeCell ref="J34:J35"/>
    <mergeCell ref="I20:I21"/>
    <mergeCell ref="I22:I23"/>
    <mergeCell ref="I24:I25"/>
    <mergeCell ref="I26:I27"/>
    <mergeCell ref="I28:I29"/>
    <mergeCell ref="A36:A37"/>
    <mergeCell ref="B36:B37"/>
    <mergeCell ref="C36:C37"/>
    <mergeCell ref="D36:D37"/>
    <mergeCell ref="K30:K31"/>
    <mergeCell ref="K32:K33"/>
    <mergeCell ref="K34:K35"/>
    <mergeCell ref="L20:L21"/>
    <mergeCell ref="L22:L23"/>
    <mergeCell ref="L24:L25"/>
    <mergeCell ref="L26:L27"/>
    <mergeCell ref="L28:L29"/>
    <mergeCell ref="L30:L31"/>
    <mergeCell ref="L32:L33"/>
    <mergeCell ref="L34:L35"/>
    <mergeCell ref="K20:K21"/>
    <mergeCell ref="K22:K23"/>
    <mergeCell ref="K24:K25"/>
    <mergeCell ref="K26:K27"/>
    <mergeCell ref="K28:K29"/>
    <mergeCell ref="I30:I31"/>
    <mergeCell ref="I32:I33"/>
    <mergeCell ref="I34:I35"/>
    <mergeCell ref="J20:J21"/>
    <mergeCell ref="J38:J39"/>
    <mergeCell ref="G36:G37"/>
    <mergeCell ref="H36:H37"/>
    <mergeCell ref="I36:I37"/>
    <mergeCell ref="J36:J37"/>
    <mergeCell ref="K40:K41"/>
    <mergeCell ref="L40:L41"/>
    <mergeCell ref="D40:D41"/>
    <mergeCell ref="G40:G41"/>
    <mergeCell ref="H40:H41"/>
    <mergeCell ref="I40:I41"/>
    <mergeCell ref="J40:J41"/>
    <mergeCell ref="K36:K37"/>
    <mergeCell ref="L36:L37"/>
    <mergeCell ref="L38:L39"/>
    <mergeCell ref="K38:K39"/>
    <mergeCell ref="B38:B39"/>
    <mergeCell ref="A38:A39"/>
    <mergeCell ref="A40:A41"/>
    <mergeCell ref="B40:B41"/>
    <mergeCell ref="C40:C41"/>
    <mergeCell ref="I38:I39"/>
    <mergeCell ref="H38:H39"/>
    <mergeCell ref="G38:G39"/>
    <mergeCell ref="D38:D39"/>
    <mergeCell ref="C38:C39"/>
  </mergeCells>
  <conditionalFormatting sqref="A1:L18 E19:F19 E21:F21 A22:L22 E23:F23 A24:L24 E25:F25 A26:L26 E27:F27 A28:L28 E29:F29 A30:L30 E31:F31 A32:L32 E33:F33 A34:L34 E35:F35 A36:L36 E37:F37 A38:L38 E39:F39 A40:L40 E41:F41 A42:L42 E43:F43 A44:L44 E45:F45 A46:L46 E47:F47 A48:L48 E49:F92 A50:D50 G50:L50 A52:D52 G52:L52 A54:D54 G54:L54 A56:D56 G56:L56 A58:D58 G58:L58 A60:D60 G60:L60 A62:D62 G62:L62 B64:D64 G64:L64 A64:A92 B66 D66 G66:L66 C66:C92 B68 D68 G68:L68 B70 D70 G70:L70 B72 D72 G72:L72 B74 D74 G74:L74 B76 D76 G76:L76 B78 D78 G78:L78 B80 D80 G80:L80 B82 D82 G82:L82 B84 D84 G84:L84 B86 D86 G86:L86 B88 D88 G88:L88 B90 D90 G90:L90 I91:K91 B92 D92 G92:L92 A93:L1048576 A20:XFD20 M1:XFD19 M21:XFD1048576">
    <cfRule type="cellIs" dxfId="42" priority="18" operator="equal">
      <formula>"Vibe"</formula>
    </cfRule>
    <cfRule type="cellIs" dxfId="41" priority="19" operator="equal">
      <formula>"Celebração"</formula>
    </cfRule>
    <cfRule type="cellIs" dxfId="40" priority="20" operator="equal">
      <formula>"Tema"</formula>
    </cfRule>
    <cfRule type="cellIs" dxfId="39" priority="21" operator="equal">
      <formula>"Paleta"</formula>
    </cfRule>
    <cfRule type="cellIs" dxfId="38" priority="22" operator="equal">
      <formula>"Origem"</formula>
    </cfRule>
  </conditionalFormatting>
  <conditionalFormatting sqref="L1:L1048576">
    <cfRule type="beginsWith" dxfId="37" priority="2" operator="beginsWith" text="Testada">
      <formula>LEFT(L1,LEN("Testada"))="Testada"</formula>
    </cfRule>
    <cfRule type="beginsWith" dxfId="36" priority="1" operator="beginsWith" text="Não">
      <formula>LEFT(L1,LEN("Não"))="Não"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ObjetivosGlobais</vt:lpstr>
      <vt:lpstr>ObjetivosConjunto</vt:lpstr>
      <vt:lpstr>ObjetivosTrending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Saggiomo</dc:creator>
  <cp:lastModifiedBy>Giovanna Saggiomo</cp:lastModifiedBy>
  <dcterms:created xsi:type="dcterms:W3CDTF">2026-04-13T13:57:45Z</dcterms:created>
  <dcterms:modified xsi:type="dcterms:W3CDTF">2026-04-14T17:40:04Z</dcterms:modified>
</cp:coreProperties>
</file>