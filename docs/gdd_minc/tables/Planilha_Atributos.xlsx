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a.saggiomo\Documents\GitHub\PurrfectPet\"/>
    </mc:Choice>
  </mc:AlternateContent>
  <xr:revisionPtr revIDLastSave="0" documentId="13_ncr:1_{747440C5-BD18-474A-955E-365305698446}" xr6:coauthVersionLast="47" xr6:coauthVersionMax="47" xr10:uidLastSave="{00000000-0000-0000-0000-000000000000}"/>
  <bookViews>
    <workbookView xWindow="14295" yWindow="0" windowWidth="14610" windowHeight="15585" xr2:uid="{4EDA196B-D871-42F2-9AC2-D8C2BD654406}"/>
  </bookViews>
  <sheets>
    <sheet name="CartasAtributos" sheetId="1" r:id="rId1"/>
    <sheet name="CombinaçõesCategorias" sheetId="3" r:id="rId2"/>
    <sheet name="CombinaçõesAtribut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R5" i="1"/>
  <c r="F4" i="4"/>
  <c r="D14" i="3"/>
  <c r="D13" i="3"/>
  <c r="D12" i="3"/>
  <c r="D11" i="3"/>
  <c r="D10" i="3"/>
  <c r="D9" i="3"/>
  <c r="D8" i="3"/>
  <c r="D7" i="3"/>
  <c r="D5" i="3"/>
  <c r="D6" i="3"/>
  <c r="J86" i="1"/>
  <c r="J85" i="1"/>
  <c r="J84" i="1"/>
  <c r="J83" i="1"/>
  <c r="J82" i="1"/>
  <c r="N80" i="1"/>
  <c r="J80" i="1"/>
  <c r="N79" i="1"/>
  <c r="J79" i="1"/>
  <c r="N78" i="1"/>
  <c r="J78" i="1"/>
  <c r="N77" i="1"/>
  <c r="J77" i="1"/>
  <c r="N76" i="1"/>
  <c r="J76" i="1"/>
  <c r="N82" i="1" s="1" a="1"/>
  <c r="N82" i="1" s="1"/>
  <c r="N74" i="1"/>
  <c r="J74" i="1"/>
  <c r="N73" i="1"/>
  <c r="J73" i="1"/>
  <c r="N72" i="1"/>
  <c r="J72" i="1"/>
  <c r="N71" i="1"/>
  <c r="J71" i="1"/>
  <c r="N70" i="1"/>
  <c r="J70" i="1"/>
  <c r="N47" i="1"/>
  <c r="N46" i="1"/>
  <c r="N45" i="1"/>
  <c r="N44" i="1"/>
  <c r="N43" i="1"/>
  <c r="N41" i="1"/>
  <c r="N40" i="1"/>
  <c r="N39" i="1"/>
  <c r="N38" i="1"/>
  <c r="N37" i="1"/>
  <c r="J53" i="1"/>
  <c r="J52" i="1"/>
  <c r="J51" i="1"/>
  <c r="J50" i="1"/>
  <c r="J49" i="1"/>
  <c r="J47" i="1"/>
  <c r="J46" i="1"/>
  <c r="J45" i="1"/>
  <c r="J44" i="1"/>
  <c r="J43" i="1"/>
  <c r="J41" i="1"/>
  <c r="J40" i="1"/>
  <c r="J39" i="1"/>
  <c r="J38" i="1"/>
  <c r="J37" i="1"/>
  <c r="N15" i="1"/>
  <c r="N14" i="1"/>
  <c r="N13" i="1"/>
  <c r="N12" i="1"/>
  <c r="N11" i="1"/>
  <c r="N9" i="1"/>
  <c r="N8" i="1"/>
  <c r="N7" i="1"/>
  <c r="N6" i="1"/>
  <c r="N5" i="1"/>
  <c r="J21" i="1"/>
  <c r="J20" i="1"/>
  <c r="J19" i="1"/>
  <c r="J18" i="1"/>
  <c r="J17" i="1"/>
  <c r="J15" i="1"/>
  <c r="J14" i="1"/>
  <c r="J13" i="1"/>
  <c r="J12" i="1"/>
  <c r="J11" i="1"/>
  <c r="J9" i="1"/>
  <c r="J8" i="1"/>
  <c r="J7" i="1"/>
  <c r="J6" i="1"/>
  <c r="N17" i="1" l="1" a="1"/>
  <c r="N17" i="1" s="1"/>
  <c r="F255" i="4"/>
  <c r="N49" i="1" a="1"/>
  <c r="N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<sst xmlns="http://schemas.openxmlformats.org/spreadsheetml/2006/main" count="1606" uniqueCount="137">
  <si>
    <t>Planilha de Atributos</t>
  </si>
  <si>
    <t>Camada</t>
  </si>
  <si>
    <t>Carta</t>
  </si>
  <si>
    <t>Categoria 1</t>
  </si>
  <si>
    <t>Categoria 2</t>
  </si>
  <si>
    <t>Atributo 2</t>
  </si>
  <si>
    <t>Atributo 1</t>
  </si>
  <si>
    <t>Branco</t>
  </si>
  <si>
    <t>Bege</t>
  </si>
  <si>
    <t>Creme</t>
  </si>
  <si>
    <t>Ocre</t>
  </si>
  <si>
    <t>Amarelo Pastel</t>
  </si>
  <si>
    <t>Amarelo</t>
  </si>
  <si>
    <t>Terracota</t>
  </si>
  <si>
    <t>Vermelho</t>
  </si>
  <si>
    <t>Vermelho Escuro</t>
  </si>
  <si>
    <t>Rosa Pastel</t>
  </si>
  <si>
    <t>Rosa Escuro</t>
  </si>
  <si>
    <t>Rosa</t>
  </si>
  <si>
    <t>Magenta</t>
  </si>
  <si>
    <t>Roxo Pastel</t>
  </si>
  <si>
    <t>Roxo</t>
  </si>
  <si>
    <t>Roxo Escuro</t>
  </si>
  <si>
    <t>Azul Pastel</t>
  </si>
  <si>
    <t>Azul</t>
  </si>
  <si>
    <t>Azul Escuro</t>
  </si>
  <si>
    <t>Verde Água</t>
  </si>
  <si>
    <t>Teal</t>
  </si>
  <si>
    <t>Verde Pastel</t>
  </si>
  <si>
    <t>Verde</t>
  </si>
  <si>
    <t>Verde Escuro</t>
  </si>
  <si>
    <t>Marrom</t>
  </si>
  <si>
    <t>Cinza Claro</t>
  </si>
  <si>
    <t>Cinza Médio</t>
  </si>
  <si>
    <t>Cinza Escuro</t>
  </si>
  <si>
    <t>Preto</t>
  </si>
  <si>
    <t>Tuxedo</t>
  </si>
  <si>
    <t>Color Point</t>
  </si>
  <si>
    <t>Mink</t>
  </si>
  <si>
    <t>Calico</t>
  </si>
  <si>
    <t>Torbie</t>
  </si>
  <si>
    <t>Tortoiseshell</t>
  </si>
  <si>
    <t>Harlequin</t>
  </si>
  <si>
    <t>Tabby</t>
  </si>
  <si>
    <t>Van</t>
  </si>
  <si>
    <t>Macktabby</t>
  </si>
  <si>
    <t>Smoke</t>
  </si>
  <si>
    <t>Bengal</t>
  </si>
  <si>
    <t>Siamese</t>
  </si>
  <si>
    <t>Vaquinha</t>
  </si>
  <si>
    <t>Panda</t>
  </si>
  <si>
    <t>Terceiro Olho</t>
  </si>
  <si>
    <t>Chifres de Demônio</t>
  </si>
  <si>
    <t>Antena Abissal</t>
  </si>
  <si>
    <t>Cabeça Abóbora</t>
  </si>
  <si>
    <t>Três Cabeças</t>
  </si>
  <si>
    <t>Tentáculos</t>
  </si>
  <si>
    <t>Auréola</t>
  </si>
  <si>
    <t>Espinho Cristal</t>
  </si>
  <si>
    <t>Asa de Anjo</t>
  </si>
  <si>
    <t>Asa de Morcego</t>
  </si>
  <si>
    <t>Cauda Nebulosa</t>
  </si>
  <si>
    <t>Cauda Dragão</t>
  </si>
  <si>
    <t>Cauda Peixe</t>
  </si>
  <si>
    <t>Duas Caudas</t>
  </si>
  <si>
    <t>Aura Divina</t>
  </si>
  <si>
    <t>Mitológico</t>
  </si>
  <si>
    <t>Elegante</t>
  </si>
  <si>
    <t>Categorias</t>
  </si>
  <si>
    <t>Origem</t>
  </si>
  <si>
    <t>Natural</t>
  </si>
  <si>
    <t>Cósmico</t>
  </si>
  <si>
    <t>Mágico</t>
  </si>
  <si>
    <t>Geek</t>
  </si>
  <si>
    <t>Atributos</t>
  </si>
  <si>
    <t>Usos</t>
  </si>
  <si>
    <t>Vibe</t>
  </si>
  <si>
    <t>Fofo</t>
  </si>
  <si>
    <t>Romântico</t>
  </si>
  <si>
    <t>Selvagem</t>
  </si>
  <si>
    <t>Sombrio</t>
  </si>
  <si>
    <t>Tema</t>
  </si>
  <si>
    <t>Infantil</t>
  </si>
  <si>
    <t>Comédia</t>
  </si>
  <si>
    <t>Drama</t>
  </si>
  <si>
    <t>Sci-fi</t>
  </si>
  <si>
    <t>Terror</t>
  </si>
  <si>
    <t>Paleta</t>
  </si>
  <si>
    <t>Neutro</t>
  </si>
  <si>
    <t>Pastel</t>
  </si>
  <si>
    <t>Vibrante</t>
  </si>
  <si>
    <t>Quente</t>
  </si>
  <si>
    <t>Frio</t>
  </si>
  <si>
    <t>Celebração</t>
  </si>
  <si>
    <t>Carnaval</t>
  </si>
  <si>
    <t>Páscoa</t>
  </si>
  <si>
    <t>Festa Junina</t>
  </si>
  <si>
    <t>Halloween</t>
  </si>
  <si>
    <t>Natal</t>
  </si>
  <si>
    <t>Total:</t>
  </si>
  <si>
    <t>Lente de Coração</t>
  </si>
  <si>
    <t>Lente de Estrela</t>
  </si>
  <si>
    <t>Lente de Sakura</t>
  </si>
  <si>
    <t>Óculos Nerd</t>
  </si>
  <si>
    <t>Dentes de Vampiro</t>
  </si>
  <si>
    <t>Dia de Los Muertos</t>
  </si>
  <si>
    <t>Coroa de Flores</t>
  </si>
  <si>
    <t>Headphone</t>
  </si>
  <si>
    <t>Máscara Ninja</t>
  </si>
  <si>
    <t>Bandana Ninja</t>
  </si>
  <si>
    <t>Chapéu de Natal</t>
  </si>
  <si>
    <t>Tiara de Coelho</t>
  </si>
  <si>
    <t>Capacete de Astronauta</t>
  </si>
  <si>
    <t>Chapéu de Bruxa</t>
  </si>
  <si>
    <t>Máscara de Carnaval</t>
  </si>
  <si>
    <t>Chapéu de Cowboy</t>
  </si>
  <si>
    <t>Maçã de Guilherme Tell</t>
  </si>
  <si>
    <t>Antena Alien</t>
  </si>
  <si>
    <t>Pena Pavão</t>
  </si>
  <si>
    <t>Gravata</t>
  </si>
  <si>
    <t>Cachecol</t>
  </si>
  <si>
    <t>Jetpack</t>
  </si>
  <si>
    <t>Laços</t>
  </si>
  <si>
    <t>Cinto de Utilidades</t>
  </si>
  <si>
    <t>Capa de Mágico</t>
  </si>
  <si>
    <t>Sushi nas Costas</t>
  </si>
  <si>
    <t>Botas Felpudas</t>
  </si>
  <si>
    <t>Báculo Mágico</t>
  </si>
  <si>
    <t>Ovo de Páscoa</t>
  </si>
  <si>
    <t>Categoria2</t>
  </si>
  <si>
    <t>+</t>
  </si>
  <si>
    <t>Top 1</t>
  </si>
  <si>
    <t>Top 2</t>
  </si>
  <si>
    <t>Top 3</t>
  </si>
  <si>
    <t>Top 5</t>
  </si>
  <si>
    <t>Combinação de Categoria</t>
  </si>
  <si>
    <t>Combinação de Atributo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</si>
</sst>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7030A0"/>
      </font>
      <fill>
        <patternFill>
          <bgColor rgb="FFD3B5E9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D3B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13A6-DE22-40E5-9C3D-AACEA85B0FAB}">
  <dimension ref="A1:T98"/>
  <sheetViews>
    <sheetView tabSelected="1" topLeftCell="F1" workbookViewId="0">
      <selection activeCell="I15" sqref="I14:I15"/>
    </sheetView>
  </sheetViews>
  <sheetFormatPr defaultColWidth="9.140625" defaultRowHeight="15" x14ac:dyDescent="0.25"/>
  <cols>
    <col min="1" max="1" width="8.85546875" style="1" bestFit="1" customWidth="1"/>
    <col min="2" max="2" width="22.42578125" style="1" bestFit="1" customWidth="1"/>
    <col min="3" max="3" width="11.42578125" style="1" bestFit="1" customWidth="1"/>
    <col min="4" max="4" width="10.42578125" style="1" bestFit="1" customWidth="1"/>
    <col min="5" max="5" width="11.42578125" style="1" bestFit="1" customWidth="1"/>
    <col min="6" max="6" width="12" style="1" bestFit="1" customWidth="1"/>
    <col min="7" max="7" width="9.140625" style="1"/>
    <col min="8" max="8" width="11" style="1" bestFit="1" customWidth="1"/>
    <col min="9" max="9" width="10.42578125" style="1" bestFit="1" customWidth="1"/>
    <col min="10" max="10" width="5.42578125" style="1" bestFit="1" customWidth="1"/>
    <col min="11" max="11" width="9.140625" style="1"/>
    <col min="12" max="12" width="11" style="1" bestFit="1" customWidth="1"/>
    <col min="13" max="13" width="12" style="1" bestFit="1" customWidth="1"/>
    <col min="14" max="14" width="5.42578125" style="1" bestFit="1" customWidth="1"/>
    <col min="15" max="15" width="9.140625" style="1"/>
    <col min="16" max="16" width="14" style="1" bestFit="1" customWidth="1"/>
    <col min="17" max="17" width="2.140625" style="1" bestFit="1" customWidth="1"/>
    <col min="18" max="18" width="11.140625" style="1" bestFit="1" customWidth="1"/>
    <col min="19" max="16384" width="9.140625" style="1"/>
  </cols>
  <sheetData>
    <row r="1" spans="1:20" ht="34.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3" spans="1:20" s="2" customFormat="1" ht="15.75" x14ac:dyDescent="0.25">
      <c r="A3" s="2" t="s">
        <v>1</v>
      </c>
      <c r="B3" s="2" t="s">
        <v>2</v>
      </c>
      <c r="C3" s="2" t="s">
        <v>3</v>
      </c>
      <c r="D3" s="2" t="s">
        <v>6</v>
      </c>
      <c r="E3" s="2" t="s">
        <v>4</v>
      </c>
      <c r="F3" s="2" t="s">
        <v>5</v>
      </c>
      <c r="H3" s="2" t="s">
        <v>68</v>
      </c>
      <c r="I3" s="2" t="s">
        <v>74</v>
      </c>
      <c r="J3" s="2" t="s">
        <v>75</v>
      </c>
      <c r="L3" s="2" t="s">
        <v>68</v>
      </c>
      <c r="M3" s="2" t="s">
        <v>74</v>
      </c>
      <c r="N3" s="2" t="s">
        <v>75</v>
      </c>
      <c r="Q3" s="4"/>
    </row>
    <row r="5" spans="1:20" x14ac:dyDescent="0.25">
      <c r="A5" s="1">
        <v>1</v>
      </c>
      <c r="B5" s="1" t="s">
        <v>7</v>
      </c>
      <c r="C5" s="1" t="s">
        <v>69</v>
      </c>
      <c r="D5" s="1" t="s">
        <v>66</v>
      </c>
      <c r="E5" s="1" t="s">
        <v>76</v>
      </c>
      <c r="F5" s="1" t="s">
        <v>67</v>
      </c>
      <c r="H5" s="9" t="s">
        <v>69</v>
      </c>
      <c r="I5" s="1" t="s">
        <v>70</v>
      </c>
      <c r="J5" s="1">
        <f>COUNTIF(D5:D33,"Natural")+COUNTIF(F5:F33,"Natural")</f>
        <v>3</v>
      </c>
      <c r="L5" s="9" t="s">
        <v>87</v>
      </c>
      <c r="M5" s="1" t="s">
        <v>88</v>
      </c>
      <c r="N5" s="1">
        <f>COUNTIF(D5:D33,"Neutro")+COUNTIF(F5:F33,"Neutro")</f>
        <v>2</v>
      </c>
      <c r="Q5"/>
      <c r="R5" s="1">
        <f>COUNTIFS(CartasAtributos!D$5:D$98,"Natural",CartasAtributos!F$5:F$98,"Fofo")+COUNTIFS(CartasAtributos!D$5:D$98,"Fofo",CartasAtributos!F$5:F$98,"Natural")</f>
        <v>0</v>
      </c>
    </row>
    <row r="6" spans="1:20" x14ac:dyDescent="0.25">
      <c r="A6" s="1">
        <v>1</v>
      </c>
      <c r="B6" s="1" t="s">
        <v>8</v>
      </c>
      <c r="C6" s="1" t="s">
        <v>69</v>
      </c>
      <c r="D6" s="1" t="s">
        <v>70</v>
      </c>
      <c r="E6" s="1" t="s">
        <v>87</v>
      </c>
      <c r="F6" s="1" t="s">
        <v>89</v>
      </c>
      <c r="H6" s="9"/>
      <c r="I6" s="1" t="s">
        <v>66</v>
      </c>
      <c r="J6" s="1">
        <f>COUNTIF(D5:D33,"Mitológico")+COUNTIF(F5:F33,"Mitológico")</f>
        <v>2</v>
      </c>
      <c r="L6" s="9"/>
      <c r="M6" s="1" t="s">
        <v>89</v>
      </c>
      <c r="N6" s="1">
        <f>COUNTIF(D5:D33,"Pastel")+COUNTIF(F5:F33,"Pastel")</f>
        <v>3</v>
      </c>
      <c r="Q6"/>
    </row>
    <row r="7" spans="1:20" x14ac:dyDescent="0.25">
      <c r="A7" s="1">
        <v>1</v>
      </c>
      <c r="B7" s="1" t="s">
        <v>9</v>
      </c>
      <c r="C7" s="1" t="s">
        <v>69</v>
      </c>
      <c r="D7" s="1" t="s">
        <v>70</v>
      </c>
      <c r="E7" s="1" t="s">
        <v>81</v>
      </c>
      <c r="F7" s="1" t="s">
        <v>82</v>
      </c>
      <c r="H7" s="9"/>
      <c r="I7" s="1" t="s">
        <v>71</v>
      </c>
      <c r="J7" s="1">
        <f>COUNTIF(D5:D33,"Cósmico")+COUNTIF(F5:F33,"Cósmico")</f>
        <v>2</v>
      </c>
      <c r="L7" s="9"/>
      <c r="M7" s="1" t="s">
        <v>90</v>
      </c>
      <c r="N7" s="1">
        <f>COUNTIF(D5:D33,"Vibrante")+COUNTIF(F5:F33,"Vibrante")</f>
        <v>2</v>
      </c>
      <c r="Q7"/>
    </row>
    <row r="8" spans="1:20" x14ac:dyDescent="0.25">
      <c r="A8" s="1">
        <v>1</v>
      </c>
      <c r="B8" s="1" t="s">
        <v>10</v>
      </c>
      <c r="C8" s="1" t="s">
        <v>81</v>
      </c>
      <c r="D8" s="1" t="s">
        <v>83</v>
      </c>
      <c r="E8" s="1" t="s">
        <v>93</v>
      </c>
      <c r="F8" s="1" t="s">
        <v>96</v>
      </c>
      <c r="H8" s="9"/>
      <c r="I8" s="1" t="s">
        <v>72</v>
      </c>
      <c r="J8" s="1">
        <f>COUNTIF(D5:D33,"Mágico")+COUNTIF(F5:F33,"Mágico")</f>
        <v>2</v>
      </c>
      <c r="L8" s="9"/>
      <c r="M8" s="1" t="s">
        <v>91</v>
      </c>
      <c r="N8" s="1">
        <f>COUNTIF(D5:D33,"Quente")+COUNTIF(F5:F33,"Quente")</f>
        <v>2</v>
      </c>
      <c r="Q8"/>
    </row>
    <row r="9" spans="1:20" x14ac:dyDescent="0.25">
      <c r="A9" s="1">
        <v>1</v>
      </c>
      <c r="B9" s="1" t="s">
        <v>11</v>
      </c>
      <c r="C9" s="1" t="s">
        <v>76</v>
      </c>
      <c r="D9" s="1" t="s">
        <v>77</v>
      </c>
      <c r="E9" s="1" t="s">
        <v>93</v>
      </c>
      <c r="F9" s="1" t="s">
        <v>95</v>
      </c>
      <c r="H9" s="9"/>
      <c r="I9" s="1" t="s">
        <v>73</v>
      </c>
      <c r="J9" s="1">
        <f>COUNTIF(D5:D33,"Geek")+COUNTIF(F5:F33,"Geek")</f>
        <v>3</v>
      </c>
      <c r="L9" s="9"/>
      <c r="M9" s="1" t="s">
        <v>92</v>
      </c>
      <c r="N9" s="1">
        <f>COUNTIF(D5:D33,"Frio")+COUNTIF(F5:F33,"Frio")</f>
        <v>3</v>
      </c>
      <c r="Q9"/>
    </row>
    <row r="10" spans="1:20" x14ac:dyDescent="0.25">
      <c r="A10" s="1">
        <v>1</v>
      </c>
      <c r="B10" s="1" t="s">
        <v>12</v>
      </c>
      <c r="C10" s="1" t="s">
        <v>87</v>
      </c>
      <c r="D10" s="1" t="s">
        <v>91</v>
      </c>
      <c r="E10" s="1" t="s">
        <v>93</v>
      </c>
      <c r="F10" s="1" t="s">
        <v>94</v>
      </c>
      <c r="Q10"/>
    </row>
    <row r="11" spans="1:20" x14ac:dyDescent="0.25">
      <c r="A11" s="1">
        <v>1</v>
      </c>
      <c r="B11" s="1" t="s">
        <v>13</v>
      </c>
      <c r="C11" s="1" t="s">
        <v>81</v>
      </c>
      <c r="D11" s="1" t="s">
        <v>83</v>
      </c>
      <c r="E11" s="1" t="s">
        <v>87</v>
      </c>
      <c r="F11" s="1" t="s">
        <v>88</v>
      </c>
      <c r="H11" s="9" t="s">
        <v>76</v>
      </c>
      <c r="I11" s="1" t="s">
        <v>77</v>
      </c>
      <c r="J11" s="1">
        <f>COUNTIF(D5:D33,"Fofo")+COUNTIF(F5:F33,"Fofo")</f>
        <v>2</v>
      </c>
      <c r="L11" s="9" t="s">
        <v>93</v>
      </c>
      <c r="M11" s="1" t="s">
        <v>94</v>
      </c>
      <c r="N11" s="1">
        <f>COUNTIF(D5:D33,"Carnaval")+COUNTIF(F5:F33,"Carnaval")</f>
        <v>2</v>
      </c>
      <c r="Q11"/>
    </row>
    <row r="12" spans="1:20" x14ac:dyDescent="0.25">
      <c r="A12" s="1">
        <v>1</v>
      </c>
      <c r="B12" s="1" t="s">
        <v>14</v>
      </c>
      <c r="C12" s="1" t="s">
        <v>76</v>
      </c>
      <c r="D12" s="1" t="s">
        <v>78</v>
      </c>
      <c r="E12" s="1" t="s">
        <v>93</v>
      </c>
      <c r="F12" s="1" t="s">
        <v>98</v>
      </c>
      <c r="H12" s="9"/>
      <c r="I12" s="1" t="s">
        <v>78</v>
      </c>
      <c r="J12" s="1">
        <f>COUNTIF(D5:D33,"Romântico")+COUNTIF(F5:F33,"Romântico")</f>
        <v>2</v>
      </c>
      <c r="L12" s="9"/>
      <c r="M12" s="1" t="s">
        <v>95</v>
      </c>
      <c r="N12" s="1">
        <f>COUNTIF(D5:D33,"Páscoa")+COUNTIF(F5:F33,"Páscoa")</f>
        <v>2</v>
      </c>
      <c r="Q12"/>
    </row>
    <row r="13" spans="1:20" x14ac:dyDescent="0.25">
      <c r="A13" s="1">
        <v>1</v>
      </c>
      <c r="B13" s="1" t="s">
        <v>15</v>
      </c>
      <c r="C13" s="1" t="s">
        <v>69</v>
      </c>
      <c r="D13" s="1" t="s">
        <v>66</v>
      </c>
      <c r="E13" s="1" t="s">
        <v>81</v>
      </c>
      <c r="F13" s="1" t="s">
        <v>86</v>
      </c>
      <c r="H13" s="9"/>
      <c r="I13" s="1" t="s">
        <v>67</v>
      </c>
      <c r="J13" s="1">
        <f>COUNTIF(D5:D33,"Elegante")+COUNTIF(F5:F33,"Elegante")</f>
        <v>3</v>
      </c>
      <c r="L13" s="9"/>
      <c r="M13" s="1" t="s">
        <v>96</v>
      </c>
      <c r="N13" s="1">
        <f>COUNTIF(D5:D33,"Festa Junina")+COUNTIF(F5:F33,"Festa Junina")</f>
        <v>3</v>
      </c>
      <c r="Q13"/>
    </row>
    <row r="14" spans="1:20" x14ac:dyDescent="0.25">
      <c r="A14" s="1">
        <v>1</v>
      </c>
      <c r="B14" s="1" t="s">
        <v>16</v>
      </c>
      <c r="C14" s="1" t="s">
        <v>76</v>
      </c>
      <c r="D14" s="1" t="s">
        <v>77</v>
      </c>
      <c r="E14" s="1" t="s">
        <v>81</v>
      </c>
      <c r="F14" s="1" t="s">
        <v>82</v>
      </c>
      <c r="H14" s="9"/>
      <c r="I14" s="1" t="s">
        <v>79</v>
      </c>
      <c r="J14" s="1">
        <f>COUNTIF(D5:D33,"Selvagem")+COUNTIF(F5:F33,"Selvagem")</f>
        <v>2</v>
      </c>
      <c r="L14" s="9"/>
      <c r="M14" s="1" t="s">
        <v>97</v>
      </c>
      <c r="N14" s="1">
        <f>COUNTIF(D5:D33,"Halloween")+COUNTIF(F5:F33,"Halloween")</f>
        <v>2</v>
      </c>
      <c r="Q14"/>
    </row>
    <row r="15" spans="1:20" x14ac:dyDescent="0.25">
      <c r="A15" s="1">
        <v>1</v>
      </c>
      <c r="B15" s="1" t="s">
        <v>18</v>
      </c>
      <c r="C15" s="1" t="s">
        <v>76</v>
      </c>
      <c r="D15" s="1" t="s">
        <v>78</v>
      </c>
      <c r="E15" s="1" t="s">
        <v>87</v>
      </c>
      <c r="F15" s="1" t="s">
        <v>90</v>
      </c>
      <c r="H15" s="9"/>
      <c r="I15" s="1" t="s">
        <v>80</v>
      </c>
      <c r="J15" s="1">
        <f>COUNTIF(D5:D33,"Sombrio")+COUNTIF(F5:F33,"Sombrio")</f>
        <v>2</v>
      </c>
      <c r="L15" s="9"/>
      <c r="M15" s="1" t="s">
        <v>98</v>
      </c>
      <c r="N15" s="1">
        <f>COUNTIF(D5:D33,"Natal")+COUNTIF(F5:F33,"Natal")</f>
        <v>2</v>
      </c>
    </row>
    <row r="16" spans="1:20" x14ac:dyDescent="0.25">
      <c r="A16" s="1">
        <v>1</v>
      </c>
      <c r="B16" s="1" t="s">
        <v>17</v>
      </c>
      <c r="C16" s="1" t="s">
        <v>69</v>
      </c>
      <c r="D16" s="1" t="s">
        <v>72</v>
      </c>
      <c r="E16" s="1" t="s">
        <v>76</v>
      </c>
      <c r="F16" s="1" t="s">
        <v>80</v>
      </c>
    </row>
    <row r="17" spans="1:14" x14ac:dyDescent="0.25">
      <c r="A17" s="1">
        <v>1</v>
      </c>
      <c r="B17" s="1" t="s">
        <v>19</v>
      </c>
      <c r="C17" s="1" t="s">
        <v>69</v>
      </c>
      <c r="D17" s="1" t="s">
        <v>73</v>
      </c>
      <c r="E17" s="1" t="s">
        <v>81</v>
      </c>
      <c r="F17" s="1" t="s">
        <v>85</v>
      </c>
      <c r="H17" s="9" t="s">
        <v>81</v>
      </c>
      <c r="I17" s="1" t="s">
        <v>82</v>
      </c>
      <c r="J17" s="1">
        <f>COUNTIF(D5:D33,"Infantil")+COUNTIF(F5:F33,"Infantil")</f>
        <v>3</v>
      </c>
      <c r="M17" s="1" t="s">
        <v>99</v>
      </c>
      <c r="N17" s="1" cm="1">
        <f t="array" ref="N17">SUM(J5:J9+J11:J15+J17:J21+N5:N9+N11:N15)</f>
        <v>58</v>
      </c>
    </row>
    <row r="18" spans="1:14" x14ac:dyDescent="0.25">
      <c r="A18" s="1">
        <v>1</v>
      </c>
      <c r="B18" s="1" t="s">
        <v>20</v>
      </c>
      <c r="C18" s="1" t="s">
        <v>87</v>
      </c>
      <c r="D18" s="1" t="s">
        <v>89</v>
      </c>
      <c r="E18" s="1" t="s">
        <v>93</v>
      </c>
      <c r="F18" s="1" t="s">
        <v>95</v>
      </c>
      <c r="H18" s="9"/>
      <c r="I18" s="1" t="s">
        <v>83</v>
      </c>
      <c r="J18" s="1">
        <f>COUNTIF(D5:D33,"Comédia")+COUNTIF(F5:F33,"Comédia")</f>
        <v>2</v>
      </c>
    </row>
    <row r="19" spans="1:14" x14ac:dyDescent="0.25">
      <c r="A19" s="1">
        <v>1</v>
      </c>
      <c r="B19" s="1" t="s">
        <v>21</v>
      </c>
      <c r="C19" s="1" t="s">
        <v>81</v>
      </c>
      <c r="D19" s="1" t="s">
        <v>85</v>
      </c>
      <c r="E19" s="1" t="s">
        <v>87</v>
      </c>
      <c r="F19" s="1" t="s">
        <v>91</v>
      </c>
      <c r="H19" s="9"/>
      <c r="I19" s="1" t="s">
        <v>84</v>
      </c>
      <c r="J19" s="1">
        <f>COUNTIF(D5:D33,"Drama")+COUNTIF(F5:F33,"Drama")</f>
        <v>2</v>
      </c>
    </row>
    <row r="20" spans="1:14" x14ac:dyDescent="0.25">
      <c r="A20" s="1">
        <v>1</v>
      </c>
      <c r="B20" s="1" t="s">
        <v>22</v>
      </c>
      <c r="C20" s="1" t="s">
        <v>69</v>
      </c>
      <c r="D20" s="1" t="s">
        <v>72</v>
      </c>
      <c r="E20" s="1" t="s">
        <v>81</v>
      </c>
      <c r="F20" s="1" t="s">
        <v>86</v>
      </c>
      <c r="H20" s="9"/>
      <c r="I20" s="1" t="s">
        <v>85</v>
      </c>
      <c r="J20" s="1">
        <f>COUNTIF(D5:D33,"Sci-fi")+COUNTIF(F5:F33,"Sci-fi")</f>
        <v>3</v>
      </c>
    </row>
    <row r="21" spans="1:14" x14ac:dyDescent="0.25">
      <c r="A21" s="1">
        <v>1</v>
      </c>
      <c r="B21" s="1" t="s">
        <v>23</v>
      </c>
      <c r="C21" s="1" t="s">
        <v>81</v>
      </c>
      <c r="D21" s="1" t="s">
        <v>82</v>
      </c>
      <c r="E21" s="1" t="s">
        <v>93</v>
      </c>
      <c r="F21" s="1" t="s">
        <v>96</v>
      </c>
      <c r="H21" s="9"/>
      <c r="I21" s="1" t="s">
        <v>86</v>
      </c>
      <c r="J21" s="1">
        <f>COUNTIF(D5:D33,"Terror")+COUNTIF(F5:F33,"Terror")</f>
        <v>2</v>
      </c>
    </row>
    <row r="22" spans="1:14" x14ac:dyDescent="0.25">
      <c r="A22" s="1">
        <v>1</v>
      </c>
      <c r="B22" s="1" t="s">
        <v>24</v>
      </c>
      <c r="C22" s="1" t="s">
        <v>69</v>
      </c>
      <c r="D22" s="1" t="s">
        <v>73</v>
      </c>
      <c r="E22" s="1" t="s">
        <v>87</v>
      </c>
      <c r="F22" s="1" t="s">
        <v>92</v>
      </c>
    </row>
    <row r="23" spans="1:14" x14ac:dyDescent="0.25">
      <c r="A23" s="1">
        <v>1</v>
      </c>
      <c r="B23" s="1" t="s">
        <v>25</v>
      </c>
      <c r="C23" s="1" t="s">
        <v>69</v>
      </c>
      <c r="D23" s="1" t="s">
        <v>71</v>
      </c>
      <c r="E23" s="1" t="s">
        <v>87</v>
      </c>
      <c r="F23" s="1" t="s">
        <v>92</v>
      </c>
    </row>
    <row r="24" spans="1:14" x14ac:dyDescent="0.25">
      <c r="A24" s="1">
        <v>1</v>
      </c>
      <c r="B24" s="1" t="s">
        <v>26</v>
      </c>
      <c r="C24" s="1" t="s">
        <v>81</v>
      </c>
      <c r="D24" s="1" t="s">
        <v>85</v>
      </c>
      <c r="E24" s="1" t="s">
        <v>87</v>
      </c>
      <c r="F24" s="1" t="s">
        <v>90</v>
      </c>
    </row>
    <row r="25" spans="1:14" x14ac:dyDescent="0.25">
      <c r="A25" s="1">
        <v>1</v>
      </c>
      <c r="B25" s="1" t="s">
        <v>27</v>
      </c>
      <c r="C25" s="1" t="s">
        <v>69</v>
      </c>
      <c r="D25" s="1" t="s">
        <v>73</v>
      </c>
      <c r="E25" s="1" t="s">
        <v>93</v>
      </c>
      <c r="F25" s="1" t="s">
        <v>94</v>
      </c>
    </row>
    <row r="26" spans="1:14" x14ac:dyDescent="0.25">
      <c r="A26" s="1">
        <v>1</v>
      </c>
      <c r="B26" s="1" t="s">
        <v>28</v>
      </c>
      <c r="C26" s="1" t="s">
        <v>87</v>
      </c>
      <c r="D26" s="1" t="s">
        <v>89</v>
      </c>
      <c r="E26" s="1" t="s">
        <v>93</v>
      </c>
      <c r="F26" s="1" t="s">
        <v>96</v>
      </c>
    </row>
    <row r="27" spans="1:14" x14ac:dyDescent="0.25">
      <c r="A27" s="1">
        <v>1</v>
      </c>
      <c r="B27" s="1" t="s">
        <v>29</v>
      </c>
      <c r="C27" s="1" t="s">
        <v>87</v>
      </c>
      <c r="D27" s="1" t="s">
        <v>92</v>
      </c>
      <c r="E27" s="1" t="s">
        <v>93</v>
      </c>
      <c r="F27" s="1" t="s">
        <v>98</v>
      </c>
    </row>
    <row r="28" spans="1:14" x14ac:dyDescent="0.25">
      <c r="A28" s="1">
        <v>1</v>
      </c>
      <c r="B28" s="1" t="s">
        <v>30</v>
      </c>
      <c r="C28" s="1" t="s">
        <v>76</v>
      </c>
      <c r="D28" s="1" t="s">
        <v>79</v>
      </c>
      <c r="E28" s="1" t="s">
        <v>93</v>
      </c>
      <c r="F28" s="1" t="s">
        <v>97</v>
      </c>
    </row>
    <row r="29" spans="1:14" x14ac:dyDescent="0.25">
      <c r="A29" s="1">
        <v>1</v>
      </c>
      <c r="B29" s="1" t="s">
        <v>31</v>
      </c>
      <c r="C29" s="1" t="s">
        <v>69</v>
      </c>
      <c r="D29" s="1" t="s">
        <v>70</v>
      </c>
      <c r="E29" s="1" t="s">
        <v>76</v>
      </c>
      <c r="F29" s="1" t="s">
        <v>79</v>
      </c>
    </row>
    <row r="30" spans="1:14" x14ac:dyDescent="0.25">
      <c r="A30" s="1">
        <v>1</v>
      </c>
      <c r="B30" s="1" t="s">
        <v>32</v>
      </c>
      <c r="C30" s="1" t="s">
        <v>81</v>
      </c>
      <c r="D30" s="1" t="s">
        <v>84</v>
      </c>
      <c r="E30" s="1" t="s">
        <v>87</v>
      </c>
      <c r="F30" s="1" t="s">
        <v>88</v>
      </c>
    </row>
    <row r="31" spans="1:14" x14ac:dyDescent="0.25">
      <c r="A31" s="1">
        <v>1</v>
      </c>
      <c r="B31" s="1" t="s">
        <v>33</v>
      </c>
      <c r="C31" s="1" t="s">
        <v>76</v>
      </c>
      <c r="D31" s="1" t="s">
        <v>67</v>
      </c>
      <c r="E31" s="1" t="s">
        <v>81</v>
      </c>
      <c r="F31" s="1" t="s">
        <v>84</v>
      </c>
    </row>
    <row r="32" spans="1:14" x14ac:dyDescent="0.25">
      <c r="A32" s="1">
        <v>1</v>
      </c>
      <c r="B32" s="1" t="s">
        <v>34</v>
      </c>
      <c r="C32" s="1" t="s">
        <v>76</v>
      </c>
      <c r="D32" s="1" t="s">
        <v>80</v>
      </c>
      <c r="E32" s="1" t="s">
        <v>93</v>
      </c>
      <c r="F32" s="1" t="s">
        <v>97</v>
      </c>
    </row>
    <row r="33" spans="1:17" x14ac:dyDescent="0.25">
      <c r="A33" s="1">
        <v>1</v>
      </c>
      <c r="B33" s="1" t="s">
        <v>35</v>
      </c>
      <c r="C33" s="1" t="s">
        <v>69</v>
      </c>
      <c r="D33" s="1" t="s">
        <v>71</v>
      </c>
      <c r="E33" s="1" t="s">
        <v>76</v>
      </c>
      <c r="F33" s="1" t="s">
        <v>67</v>
      </c>
    </row>
    <row r="35" spans="1:17" s="2" customFormat="1" ht="15.75" x14ac:dyDescent="0.25">
      <c r="A35" s="2" t="s">
        <v>1</v>
      </c>
      <c r="B35" s="2" t="s">
        <v>2</v>
      </c>
      <c r="C35" s="2" t="s">
        <v>3</v>
      </c>
      <c r="D35" s="2" t="s">
        <v>6</v>
      </c>
      <c r="E35" s="2" t="s">
        <v>4</v>
      </c>
      <c r="F35" s="2" t="s">
        <v>5</v>
      </c>
      <c r="H35" s="2" t="s">
        <v>68</v>
      </c>
      <c r="I35" s="2" t="s">
        <v>74</v>
      </c>
      <c r="J35" s="2" t="s">
        <v>75</v>
      </c>
      <c r="L35" s="2" t="s">
        <v>68</v>
      </c>
      <c r="M35" s="2" t="s">
        <v>74</v>
      </c>
      <c r="N35" s="2" t="s">
        <v>75</v>
      </c>
      <c r="Q35" s="4"/>
    </row>
    <row r="37" spans="1:17" x14ac:dyDescent="0.25">
      <c r="A37" s="1">
        <v>2</v>
      </c>
      <c r="B37" s="1" t="s">
        <v>36</v>
      </c>
      <c r="C37" s="1" t="s">
        <v>76</v>
      </c>
      <c r="D37" s="1" t="s">
        <v>67</v>
      </c>
      <c r="E37" s="1" t="s">
        <v>81</v>
      </c>
      <c r="F37" s="1" t="s">
        <v>83</v>
      </c>
      <c r="H37" s="9" t="s">
        <v>69</v>
      </c>
      <c r="I37" s="1" t="s">
        <v>70</v>
      </c>
      <c r="J37" s="1">
        <f>COUNTIF(D37:D66,"Natural")+COUNTIF(F37:F66,"Natural")</f>
        <v>2</v>
      </c>
      <c r="L37" s="9" t="s">
        <v>87</v>
      </c>
      <c r="M37" s="1" t="s">
        <v>88</v>
      </c>
      <c r="N37" s="1">
        <f>COUNTIF(D37:D66,"Neutro")+COUNTIF(F37:F66,"Neutro")</f>
        <v>2</v>
      </c>
    </row>
    <row r="38" spans="1:17" x14ac:dyDescent="0.25">
      <c r="A38" s="1">
        <v>2</v>
      </c>
      <c r="B38" s="1" t="s">
        <v>37</v>
      </c>
      <c r="C38" s="1" t="s">
        <v>87</v>
      </c>
      <c r="D38" s="1" t="s">
        <v>88</v>
      </c>
      <c r="E38" s="1" t="s">
        <v>93</v>
      </c>
      <c r="F38" s="1" t="s">
        <v>95</v>
      </c>
      <c r="H38" s="9"/>
      <c r="I38" s="1" t="s">
        <v>66</v>
      </c>
      <c r="J38" s="1">
        <f>COUNTIF(D37:D66,"Mitológico")+COUNTIF(F37:F66,"Mitológico")</f>
        <v>3</v>
      </c>
      <c r="L38" s="9"/>
      <c r="M38" s="1" t="s">
        <v>89</v>
      </c>
      <c r="N38" s="1">
        <f>COUNTIF(D37:D66,"Pastel")+COUNTIF(F37:F66,"Pastel")</f>
        <v>2</v>
      </c>
    </row>
    <row r="39" spans="1:17" x14ac:dyDescent="0.25">
      <c r="A39" s="1">
        <v>2</v>
      </c>
      <c r="B39" s="1" t="s">
        <v>38</v>
      </c>
      <c r="C39" s="1" t="s">
        <v>76</v>
      </c>
      <c r="D39" s="1" t="s">
        <v>67</v>
      </c>
      <c r="E39" s="1" t="s">
        <v>87</v>
      </c>
      <c r="F39" s="1" t="s">
        <v>92</v>
      </c>
      <c r="H39" s="9"/>
      <c r="I39" s="1" t="s">
        <v>71</v>
      </c>
      <c r="J39" s="1">
        <f>COUNTIF(D37:D66,"Cósmico")+COUNTIF(F37:F66,"Cósmico")</f>
        <v>3</v>
      </c>
      <c r="L39" s="9"/>
      <c r="M39" s="1" t="s">
        <v>90</v>
      </c>
      <c r="N39" s="1">
        <f>COUNTIF(D37:D66,"Vibrante")+COUNTIF(F37:F66,"Vibrante")</f>
        <v>3</v>
      </c>
    </row>
    <row r="40" spans="1:17" x14ac:dyDescent="0.25">
      <c r="A40" s="1">
        <v>2</v>
      </c>
      <c r="B40" s="1" t="s">
        <v>39</v>
      </c>
      <c r="C40" s="1" t="s">
        <v>76</v>
      </c>
      <c r="D40" s="1" t="s">
        <v>77</v>
      </c>
      <c r="E40" s="1" t="s">
        <v>87</v>
      </c>
      <c r="F40" s="1" t="s">
        <v>91</v>
      </c>
      <c r="H40" s="9"/>
      <c r="I40" s="1" t="s">
        <v>72</v>
      </c>
      <c r="J40" s="1">
        <f>COUNTIF(D37:D66,"Mágico")+COUNTIF(F37:F66,"Mágico")</f>
        <v>2</v>
      </c>
      <c r="L40" s="9"/>
      <c r="M40" s="1" t="s">
        <v>91</v>
      </c>
      <c r="N40" s="1">
        <f>COUNTIF(D37:D66,"Quente")+COUNTIF(F37:F66,"Quente")</f>
        <v>2</v>
      </c>
    </row>
    <row r="41" spans="1:17" x14ac:dyDescent="0.25">
      <c r="A41" s="1">
        <v>2</v>
      </c>
      <c r="B41" s="1" t="s">
        <v>40</v>
      </c>
      <c r="C41" s="1" t="s">
        <v>76</v>
      </c>
      <c r="D41" s="1" t="s">
        <v>79</v>
      </c>
      <c r="E41" s="1" t="s">
        <v>93</v>
      </c>
      <c r="F41" s="1" t="s">
        <v>98</v>
      </c>
      <c r="H41" s="9"/>
      <c r="I41" s="1" t="s">
        <v>73</v>
      </c>
      <c r="J41" s="1">
        <f>COUNTIF(D37:D66,"Geek")+COUNTIF(F37:F66,"Geek")</f>
        <v>2</v>
      </c>
      <c r="L41" s="9"/>
      <c r="M41" s="1" t="s">
        <v>92</v>
      </c>
      <c r="N41" s="1">
        <f>COUNTIF(D37:D66,"Frio")+COUNTIF(F37:F66,"Frio")</f>
        <v>2</v>
      </c>
    </row>
    <row r="42" spans="1:17" x14ac:dyDescent="0.25">
      <c r="A42" s="1">
        <v>2</v>
      </c>
      <c r="B42" s="1" t="s">
        <v>41</v>
      </c>
      <c r="C42" s="1" t="s">
        <v>69</v>
      </c>
      <c r="D42" s="1" t="s">
        <v>70</v>
      </c>
      <c r="E42" s="1" t="s">
        <v>93</v>
      </c>
      <c r="F42" s="1" t="s">
        <v>96</v>
      </c>
    </row>
    <row r="43" spans="1:17" x14ac:dyDescent="0.25">
      <c r="A43" s="1">
        <v>2</v>
      </c>
      <c r="B43" s="1" t="s">
        <v>42</v>
      </c>
      <c r="C43" s="1" t="s">
        <v>76</v>
      </c>
      <c r="D43" s="1" t="s">
        <v>78</v>
      </c>
      <c r="E43" s="1" t="s">
        <v>93</v>
      </c>
      <c r="F43" s="1" t="s">
        <v>96</v>
      </c>
      <c r="H43" s="9" t="s">
        <v>76</v>
      </c>
      <c r="I43" s="1" t="s">
        <v>77</v>
      </c>
      <c r="J43" s="1">
        <f>COUNTIF(D37:D66,"Fofo")+COUNTIF(F37:F66,"Fofo")</f>
        <v>3</v>
      </c>
      <c r="L43" s="9" t="s">
        <v>93</v>
      </c>
      <c r="M43" s="1" t="s">
        <v>94</v>
      </c>
      <c r="N43" s="1">
        <f>COUNTIF(D37:D66,"Carnaval")+COUNTIF(F37:F66,"Carnaval")</f>
        <v>3</v>
      </c>
    </row>
    <row r="44" spans="1:17" x14ac:dyDescent="0.25">
      <c r="A44" s="1">
        <v>2</v>
      </c>
      <c r="B44" s="1" t="s">
        <v>43</v>
      </c>
      <c r="C44" s="1" t="s">
        <v>69</v>
      </c>
      <c r="D44" s="1" t="s">
        <v>70</v>
      </c>
      <c r="E44" s="1" t="s">
        <v>87</v>
      </c>
      <c r="F44" s="1" t="s">
        <v>88</v>
      </c>
      <c r="H44" s="9"/>
      <c r="I44" s="1" t="s">
        <v>78</v>
      </c>
      <c r="J44" s="1">
        <f>COUNTIF(D37:D66,"Romântico")+COUNTIF(F37:F66,"Romântico")</f>
        <v>2</v>
      </c>
      <c r="L44" s="9"/>
      <c r="M44" s="1" t="s">
        <v>95</v>
      </c>
      <c r="N44" s="1">
        <f>COUNTIF(D37:D66,"Páscoa")+COUNTIF(F37:F66,"Páscoa")</f>
        <v>2</v>
      </c>
    </row>
    <row r="45" spans="1:17" x14ac:dyDescent="0.25">
      <c r="A45" s="1">
        <v>2</v>
      </c>
      <c r="B45" s="1" t="s">
        <v>44</v>
      </c>
      <c r="C45" s="1" t="s">
        <v>76</v>
      </c>
      <c r="D45" s="1" t="s">
        <v>78</v>
      </c>
      <c r="E45" s="1" t="s">
        <v>93</v>
      </c>
      <c r="F45" s="1" t="s">
        <v>98</v>
      </c>
      <c r="H45" s="9"/>
      <c r="I45" s="1" t="s">
        <v>67</v>
      </c>
      <c r="J45" s="1">
        <f>COUNTIF(D37:D66,"Elegante")+COUNTIF(F37:F66,"Elegante")</f>
        <v>3</v>
      </c>
      <c r="L45" s="9"/>
      <c r="M45" s="1" t="s">
        <v>96</v>
      </c>
      <c r="N45" s="1">
        <f>COUNTIF(D37:D66,"Festa Junina")+COUNTIF(F37:F66,"Festa Junina")</f>
        <v>2</v>
      </c>
    </row>
    <row r="46" spans="1:17" x14ac:dyDescent="0.25">
      <c r="A46" s="1">
        <v>2</v>
      </c>
      <c r="B46" s="1" t="s">
        <v>45</v>
      </c>
      <c r="C46" s="1" t="s">
        <v>81</v>
      </c>
      <c r="D46" s="1" t="s">
        <v>83</v>
      </c>
      <c r="E46" s="1" t="s">
        <v>93</v>
      </c>
      <c r="F46" s="1" t="s">
        <v>95</v>
      </c>
      <c r="H46" s="9"/>
      <c r="I46" s="1" t="s">
        <v>79</v>
      </c>
      <c r="J46" s="1">
        <f>COUNTIF(D37:D66,"Selvagem")+COUNTIF(F37:F66,"Selvagem")</f>
        <v>3</v>
      </c>
      <c r="L46" s="9"/>
      <c r="M46" s="1" t="s">
        <v>97</v>
      </c>
      <c r="N46" s="1">
        <f>COUNTIF(D37:D66,"Halloween")+COUNTIF(F37:F66,"Halloween")</f>
        <v>3</v>
      </c>
    </row>
    <row r="47" spans="1:17" x14ac:dyDescent="0.25">
      <c r="A47" s="1">
        <v>2</v>
      </c>
      <c r="B47" s="1" t="s">
        <v>46</v>
      </c>
      <c r="C47" s="1" t="s">
        <v>69</v>
      </c>
      <c r="D47" s="1" t="s">
        <v>71</v>
      </c>
      <c r="E47" s="1" t="s">
        <v>81</v>
      </c>
      <c r="F47" s="1" t="s">
        <v>84</v>
      </c>
      <c r="H47" s="9"/>
      <c r="I47" s="1" t="s">
        <v>80</v>
      </c>
      <c r="J47" s="1">
        <f>COUNTIF(D37:D66,"Sombrio")+COUNTIF(F37:F66,"Sombrio")</f>
        <v>2</v>
      </c>
      <c r="L47" s="9"/>
      <c r="M47" s="1" t="s">
        <v>98</v>
      </c>
      <c r="N47" s="1">
        <f>COUNTIF(D37:D66,"Natal")+COUNTIF(F37:F66,"Natal")</f>
        <v>2</v>
      </c>
    </row>
    <row r="48" spans="1:17" x14ac:dyDescent="0.25">
      <c r="A48" s="1">
        <v>2</v>
      </c>
      <c r="B48" s="1" t="s">
        <v>47</v>
      </c>
      <c r="C48" s="1" t="s">
        <v>76</v>
      </c>
      <c r="D48" s="1" t="s">
        <v>79</v>
      </c>
      <c r="E48" s="1" t="s">
        <v>93</v>
      </c>
      <c r="F48" s="1" t="s">
        <v>94</v>
      </c>
    </row>
    <row r="49" spans="1:14" x14ac:dyDescent="0.25">
      <c r="A49" s="1">
        <v>2</v>
      </c>
      <c r="B49" s="1" t="s">
        <v>48</v>
      </c>
      <c r="C49" s="1" t="s">
        <v>76</v>
      </c>
      <c r="D49" s="1" t="s">
        <v>77</v>
      </c>
      <c r="E49" s="1" t="s">
        <v>81</v>
      </c>
      <c r="F49" s="1" t="s">
        <v>84</v>
      </c>
      <c r="H49" s="9" t="s">
        <v>81</v>
      </c>
      <c r="I49" s="1" t="s">
        <v>82</v>
      </c>
      <c r="J49" s="1">
        <f>COUNTIF(D37:D66,"Infantil")+COUNTIF(F37:F66,"Infantil")</f>
        <v>2</v>
      </c>
      <c r="M49" s="1" t="s">
        <v>99</v>
      </c>
      <c r="N49" s="1" cm="1">
        <f t="array" ref="N49">SUM(J37:J41+J43:J47+J49:J53+N37:N41+N43:N47)</f>
        <v>59</v>
      </c>
    </row>
    <row r="50" spans="1:14" x14ac:dyDescent="0.25">
      <c r="A50" s="1">
        <v>2</v>
      </c>
      <c r="B50" s="1" t="s">
        <v>49</v>
      </c>
      <c r="C50" s="1" t="s">
        <v>81</v>
      </c>
      <c r="D50" s="1" t="s">
        <v>83</v>
      </c>
      <c r="E50" s="1" t="s">
        <v>93</v>
      </c>
      <c r="F50" s="1" t="s">
        <v>94</v>
      </c>
      <c r="H50" s="9"/>
      <c r="I50" s="1" t="s">
        <v>83</v>
      </c>
      <c r="J50" s="1">
        <f>COUNTIF(D37:D66,"Comédia")+COUNTIF(F37:F66,"Comédia")</f>
        <v>3</v>
      </c>
    </row>
    <row r="51" spans="1:14" x14ac:dyDescent="0.25">
      <c r="A51" s="1">
        <v>2</v>
      </c>
      <c r="B51" s="1" t="s">
        <v>50</v>
      </c>
      <c r="C51" s="1" t="s">
        <v>76</v>
      </c>
      <c r="D51" s="1" t="s">
        <v>67</v>
      </c>
      <c r="E51" s="1" t="s">
        <v>81</v>
      </c>
      <c r="F51" s="1" t="s">
        <v>85</v>
      </c>
      <c r="H51" s="9"/>
      <c r="I51" s="1" t="s">
        <v>84</v>
      </c>
      <c r="J51" s="1">
        <f>COUNTIF(D37:D66,"Drama")+COUNTIF(F37:F66,"Drama")</f>
        <v>2</v>
      </c>
    </row>
    <row r="52" spans="1:14" x14ac:dyDescent="0.25">
      <c r="A52" s="1">
        <v>2</v>
      </c>
      <c r="B52" s="1" t="s">
        <v>51</v>
      </c>
      <c r="C52" s="1" t="s">
        <v>69</v>
      </c>
      <c r="D52" s="1" t="s">
        <v>71</v>
      </c>
      <c r="E52" s="1" t="s">
        <v>76</v>
      </c>
      <c r="F52" s="1" t="s">
        <v>80</v>
      </c>
      <c r="H52" s="9"/>
      <c r="I52" s="1" t="s">
        <v>85</v>
      </c>
      <c r="J52" s="1">
        <f>COUNTIF(D37:D66,"Sci-fi")+COUNTIF(F37:F66,"Sci-fi")</f>
        <v>2</v>
      </c>
    </row>
    <row r="53" spans="1:14" x14ac:dyDescent="0.25">
      <c r="A53" s="1">
        <v>2</v>
      </c>
      <c r="B53" s="1" t="s">
        <v>52</v>
      </c>
      <c r="C53" s="1" t="s">
        <v>69</v>
      </c>
      <c r="D53" s="1" t="s">
        <v>66</v>
      </c>
      <c r="E53" s="1" t="s">
        <v>87</v>
      </c>
      <c r="F53" s="1" t="s">
        <v>91</v>
      </c>
      <c r="H53" s="9"/>
      <c r="I53" s="1" t="s">
        <v>86</v>
      </c>
      <c r="J53" s="1">
        <f>COUNTIF(D37:D66,"Terror")+COUNTIF(F37:F66,"Terror")</f>
        <v>2</v>
      </c>
    </row>
    <row r="54" spans="1:14" x14ac:dyDescent="0.25">
      <c r="A54" s="1">
        <v>2</v>
      </c>
      <c r="B54" s="1" t="s">
        <v>53</v>
      </c>
      <c r="C54" s="1" t="s">
        <v>81</v>
      </c>
      <c r="D54" s="1" t="s">
        <v>86</v>
      </c>
      <c r="E54" s="1" t="s">
        <v>87</v>
      </c>
      <c r="F54" s="1" t="s">
        <v>92</v>
      </c>
    </row>
    <row r="55" spans="1:14" x14ac:dyDescent="0.25">
      <c r="A55" s="1">
        <v>2</v>
      </c>
      <c r="B55" s="1" t="s">
        <v>54</v>
      </c>
      <c r="C55" s="1" t="s">
        <v>76</v>
      </c>
      <c r="D55" s="1" t="s">
        <v>80</v>
      </c>
      <c r="E55" s="1" t="s">
        <v>93</v>
      </c>
      <c r="F55" s="1" t="s">
        <v>97</v>
      </c>
    </row>
    <row r="56" spans="1:14" x14ac:dyDescent="0.25">
      <c r="A56" s="1">
        <v>2</v>
      </c>
      <c r="B56" s="1" t="s">
        <v>55</v>
      </c>
      <c r="C56" s="1" t="s">
        <v>81</v>
      </c>
      <c r="D56" s="1" t="s">
        <v>86</v>
      </c>
      <c r="E56" s="1" t="s">
        <v>87</v>
      </c>
      <c r="F56" s="1" t="s">
        <v>90</v>
      </c>
    </row>
    <row r="57" spans="1:14" x14ac:dyDescent="0.25">
      <c r="A57" s="1">
        <v>2</v>
      </c>
      <c r="B57" s="1" t="s">
        <v>56</v>
      </c>
      <c r="C57" s="1" t="s">
        <v>69</v>
      </c>
      <c r="D57" s="1" t="s">
        <v>71</v>
      </c>
      <c r="E57" s="1" t="s">
        <v>76</v>
      </c>
      <c r="F57" s="1" t="s">
        <v>79</v>
      </c>
    </row>
    <row r="58" spans="1:14" x14ac:dyDescent="0.25">
      <c r="A58" s="1">
        <v>2</v>
      </c>
      <c r="B58" s="1" t="s">
        <v>57</v>
      </c>
      <c r="C58" s="1" t="s">
        <v>76</v>
      </c>
      <c r="D58" s="1" t="s">
        <v>77</v>
      </c>
      <c r="E58" s="1" t="s">
        <v>87</v>
      </c>
      <c r="F58" s="1" t="s">
        <v>89</v>
      </c>
    </row>
    <row r="59" spans="1:14" x14ac:dyDescent="0.25">
      <c r="A59" s="1">
        <v>2</v>
      </c>
      <c r="B59" s="1" t="s">
        <v>58</v>
      </c>
      <c r="C59" s="1" t="s">
        <v>69</v>
      </c>
      <c r="D59" s="1" t="s">
        <v>72</v>
      </c>
      <c r="E59" s="1" t="s">
        <v>93</v>
      </c>
      <c r="F59" s="1" t="s">
        <v>94</v>
      </c>
    </row>
    <row r="60" spans="1:14" x14ac:dyDescent="0.25">
      <c r="A60" s="1">
        <v>2</v>
      </c>
      <c r="B60" s="1" t="s">
        <v>59</v>
      </c>
      <c r="C60" s="1" t="s">
        <v>69</v>
      </c>
      <c r="D60" s="1" t="s">
        <v>66</v>
      </c>
      <c r="E60" s="1" t="s">
        <v>81</v>
      </c>
      <c r="F60" s="1" t="s">
        <v>82</v>
      </c>
    </row>
    <row r="61" spans="1:14" x14ac:dyDescent="0.25">
      <c r="A61" s="1">
        <v>2</v>
      </c>
      <c r="B61" s="1" t="s">
        <v>60</v>
      </c>
      <c r="C61" s="1" t="s">
        <v>81</v>
      </c>
      <c r="D61" s="1" t="s">
        <v>82</v>
      </c>
      <c r="E61" s="1" t="s">
        <v>93</v>
      </c>
      <c r="F61" s="1" t="s">
        <v>97</v>
      </c>
    </row>
    <row r="62" spans="1:14" x14ac:dyDescent="0.25">
      <c r="A62" s="1">
        <v>2</v>
      </c>
      <c r="B62" s="1" t="s">
        <v>61</v>
      </c>
      <c r="C62" s="1" t="s">
        <v>69</v>
      </c>
      <c r="D62" s="1" t="s">
        <v>72</v>
      </c>
      <c r="E62" s="1" t="s">
        <v>81</v>
      </c>
      <c r="F62" s="1" t="s">
        <v>85</v>
      </c>
    </row>
    <row r="63" spans="1:14" x14ac:dyDescent="0.25">
      <c r="A63" s="1">
        <v>2</v>
      </c>
      <c r="B63" s="1" t="s">
        <v>62</v>
      </c>
      <c r="C63" s="1" t="s">
        <v>69</v>
      </c>
      <c r="D63" s="1" t="s">
        <v>73</v>
      </c>
      <c r="E63" s="1" t="s">
        <v>87</v>
      </c>
      <c r="F63" s="1" t="s">
        <v>90</v>
      </c>
    </row>
    <row r="64" spans="1:14" x14ac:dyDescent="0.25">
      <c r="A64" s="1">
        <v>2</v>
      </c>
      <c r="B64" s="1" t="s">
        <v>63</v>
      </c>
      <c r="C64" s="1" t="s">
        <v>87</v>
      </c>
      <c r="D64" s="1" t="s">
        <v>90</v>
      </c>
      <c r="E64" s="1" t="s">
        <v>93</v>
      </c>
      <c r="F64" s="1" t="s">
        <v>97</v>
      </c>
    </row>
    <row r="65" spans="1:14" x14ac:dyDescent="0.25">
      <c r="A65" s="1">
        <v>2</v>
      </c>
      <c r="B65" s="1" t="s">
        <v>64</v>
      </c>
      <c r="C65" s="1" t="s">
        <v>69</v>
      </c>
      <c r="D65" s="1" t="s">
        <v>73</v>
      </c>
      <c r="E65" s="1" t="s">
        <v>87</v>
      </c>
      <c r="F65" s="1" t="s">
        <v>89</v>
      </c>
    </row>
    <row r="66" spans="1:14" x14ac:dyDescent="0.25">
      <c r="A66" s="1">
        <v>2</v>
      </c>
      <c r="B66" s="1" t="s">
        <v>65</v>
      </c>
      <c r="C66" s="1" t="s">
        <v>69</v>
      </c>
      <c r="D66" s="1" t="s">
        <v>66</v>
      </c>
    </row>
    <row r="68" spans="1:14" s="2" customFormat="1" ht="15.75" x14ac:dyDescent="0.25">
      <c r="A68" s="2" t="s">
        <v>1</v>
      </c>
      <c r="B68" s="2" t="s">
        <v>2</v>
      </c>
      <c r="C68" s="2" t="s">
        <v>3</v>
      </c>
      <c r="D68" s="2" t="s">
        <v>6</v>
      </c>
      <c r="E68" s="2" t="s">
        <v>4</v>
      </c>
      <c r="F68" s="2" t="s">
        <v>5</v>
      </c>
      <c r="H68" s="2" t="s">
        <v>68</v>
      </c>
      <c r="I68" s="2" t="s">
        <v>74</v>
      </c>
      <c r="J68" s="2" t="s">
        <v>75</v>
      </c>
      <c r="L68" s="2" t="s">
        <v>68</v>
      </c>
      <c r="M68" s="2" t="s">
        <v>74</v>
      </c>
      <c r="N68" s="2" t="s">
        <v>75</v>
      </c>
    </row>
    <row r="70" spans="1:14" x14ac:dyDescent="0.25">
      <c r="A70" s="1">
        <v>3</v>
      </c>
      <c r="B70" s="1" t="s">
        <v>100</v>
      </c>
      <c r="C70" s="1" t="s">
        <v>76</v>
      </c>
      <c r="D70" s="1" t="s">
        <v>78</v>
      </c>
      <c r="E70" s="1" t="s">
        <v>87</v>
      </c>
      <c r="F70" s="1" t="s">
        <v>89</v>
      </c>
      <c r="H70" s="9" t="s">
        <v>69</v>
      </c>
      <c r="I70" s="1" t="s">
        <v>70</v>
      </c>
      <c r="J70" s="1">
        <f>COUNTIF(D70:D98,"Natural")+COUNTIF(F70:F98,"Natural")</f>
        <v>2</v>
      </c>
      <c r="L70" s="9" t="s">
        <v>87</v>
      </c>
      <c r="M70" s="1" t="s">
        <v>88</v>
      </c>
      <c r="N70" s="1">
        <f>COUNTIF(D70:D98,"Neutro")+COUNTIF(F70:F98,"Neutro")</f>
        <v>3</v>
      </c>
    </row>
    <row r="71" spans="1:14" x14ac:dyDescent="0.25">
      <c r="A71" s="1">
        <v>3</v>
      </c>
      <c r="B71" s="1" t="s">
        <v>101</v>
      </c>
      <c r="C71" s="1" t="s">
        <v>69</v>
      </c>
      <c r="D71" s="1" t="s">
        <v>71</v>
      </c>
      <c r="E71" s="1" t="s">
        <v>81</v>
      </c>
      <c r="F71" s="1" t="s">
        <v>82</v>
      </c>
      <c r="H71" s="9"/>
      <c r="I71" s="1" t="s">
        <v>66</v>
      </c>
      <c r="J71" s="1">
        <f>COUNTIF(D70:D98,"Mitológico")+COUNTIF(F70:F98,"Mitológico")</f>
        <v>2</v>
      </c>
      <c r="L71" s="9"/>
      <c r="M71" s="1" t="s">
        <v>89</v>
      </c>
      <c r="N71" s="1">
        <f>COUNTIF(D70:D98,"Pastel")+COUNTIF(F70:F98,"Pastel")</f>
        <v>2</v>
      </c>
    </row>
    <row r="72" spans="1:14" x14ac:dyDescent="0.25">
      <c r="A72" s="1">
        <v>3</v>
      </c>
      <c r="B72" s="1" t="s">
        <v>102</v>
      </c>
      <c r="C72" s="1" t="s">
        <v>76</v>
      </c>
      <c r="D72" s="1" t="s">
        <v>77</v>
      </c>
      <c r="E72" s="1" t="s">
        <v>87</v>
      </c>
      <c r="F72" s="1" t="s">
        <v>89</v>
      </c>
      <c r="H72" s="9"/>
      <c r="I72" s="1" t="s">
        <v>71</v>
      </c>
      <c r="J72" s="1">
        <f>COUNTIF(D70:D98,"Cósmico")+COUNTIF(F70:F98,"Cósmico")</f>
        <v>3</v>
      </c>
      <c r="L72" s="9"/>
      <c r="M72" s="1" t="s">
        <v>90</v>
      </c>
      <c r="N72" s="1">
        <f>COUNTIF(D70:D98,"Vibrante")+COUNTIF(F70:F98,"Vibrante")</f>
        <v>2</v>
      </c>
    </row>
    <row r="73" spans="1:14" x14ac:dyDescent="0.25">
      <c r="A73" s="1">
        <v>3</v>
      </c>
      <c r="B73" s="1" t="s">
        <v>103</v>
      </c>
      <c r="C73" s="1" t="s">
        <v>69</v>
      </c>
      <c r="D73" s="1" t="s">
        <v>73</v>
      </c>
      <c r="E73" s="1" t="s">
        <v>87</v>
      </c>
      <c r="F73" s="1" t="s">
        <v>92</v>
      </c>
      <c r="H73" s="9"/>
      <c r="I73" s="1" t="s">
        <v>72</v>
      </c>
      <c r="J73" s="1">
        <f>COUNTIF(D70:D98,"Mágico")+COUNTIF(F70:F98,"Mágico")</f>
        <v>2</v>
      </c>
      <c r="L73" s="9"/>
      <c r="M73" s="1" t="s">
        <v>91</v>
      </c>
      <c r="N73" s="1">
        <f>COUNTIF(D70:D98,"Quente")+COUNTIF(F70:F98,"Quente")</f>
        <v>3</v>
      </c>
    </row>
    <row r="74" spans="1:14" x14ac:dyDescent="0.25">
      <c r="A74" s="1">
        <v>3</v>
      </c>
      <c r="B74" s="1" t="s">
        <v>104</v>
      </c>
      <c r="C74" s="1" t="s">
        <v>76</v>
      </c>
      <c r="D74" s="1" t="s">
        <v>79</v>
      </c>
      <c r="E74" s="1" t="s">
        <v>93</v>
      </c>
      <c r="F74" s="1" t="s">
        <v>97</v>
      </c>
      <c r="H74" s="9"/>
      <c r="I74" s="1" t="s">
        <v>73</v>
      </c>
      <c r="J74" s="1">
        <f>COUNTIF(D70:D98,"Geek")+COUNTIF(F70:F98,"Geek")</f>
        <v>3</v>
      </c>
      <c r="L74" s="9"/>
      <c r="M74" s="1" t="s">
        <v>92</v>
      </c>
      <c r="N74" s="1">
        <f>COUNTIF(D70:D98,"Frio")+COUNTIF(F70:F98,"Frio")</f>
        <v>2</v>
      </c>
    </row>
    <row r="75" spans="1:14" x14ac:dyDescent="0.25">
      <c r="A75" s="1">
        <v>3</v>
      </c>
      <c r="B75" s="1" t="s">
        <v>105</v>
      </c>
      <c r="C75" s="1" t="s">
        <v>69</v>
      </c>
      <c r="D75" s="1" t="s">
        <v>66</v>
      </c>
      <c r="E75" s="1" t="s">
        <v>87</v>
      </c>
      <c r="F75" s="1" t="s">
        <v>90</v>
      </c>
    </row>
    <row r="76" spans="1:14" x14ac:dyDescent="0.25">
      <c r="A76" s="1">
        <v>3</v>
      </c>
      <c r="B76" s="1" t="s">
        <v>106</v>
      </c>
      <c r="C76" s="1" t="s">
        <v>76</v>
      </c>
      <c r="D76" s="1" t="s">
        <v>78</v>
      </c>
      <c r="E76" s="1" t="s">
        <v>93</v>
      </c>
      <c r="F76" s="1" t="s">
        <v>95</v>
      </c>
      <c r="H76" s="9" t="s">
        <v>76</v>
      </c>
      <c r="I76" s="1" t="s">
        <v>77</v>
      </c>
      <c r="J76" s="1">
        <f>COUNTIF(D70:D98,"Fofo")+COUNTIF(F70:F98,"Fofo")</f>
        <v>2</v>
      </c>
      <c r="L76" s="9" t="s">
        <v>93</v>
      </c>
      <c r="M76" s="1" t="s">
        <v>94</v>
      </c>
      <c r="N76" s="1">
        <f>COUNTIF(D70:D98,"Carnaval")+COUNTIF(F70:F98,"Carnaval")</f>
        <v>2</v>
      </c>
    </row>
    <row r="77" spans="1:14" x14ac:dyDescent="0.25">
      <c r="A77" s="1">
        <v>3</v>
      </c>
      <c r="B77" s="1" t="s">
        <v>107</v>
      </c>
      <c r="C77" s="1" t="s">
        <v>69</v>
      </c>
      <c r="D77" s="1" t="s">
        <v>73</v>
      </c>
      <c r="E77" s="1" t="s">
        <v>87</v>
      </c>
      <c r="F77" s="1" t="s">
        <v>92</v>
      </c>
      <c r="H77" s="9"/>
      <c r="I77" s="1" t="s">
        <v>78</v>
      </c>
      <c r="J77" s="1">
        <f>COUNTIF(D70:D98,"Romântico")+COUNTIF(F70:F98,"Romântico")</f>
        <v>3</v>
      </c>
      <c r="L77" s="9"/>
      <c r="M77" s="1" t="s">
        <v>95</v>
      </c>
      <c r="N77" s="1">
        <f>COUNTIF(D70:D98,"Páscoa")+COUNTIF(F70:F98,"Páscoa")</f>
        <v>3</v>
      </c>
    </row>
    <row r="78" spans="1:14" x14ac:dyDescent="0.25">
      <c r="A78" s="1">
        <v>3</v>
      </c>
      <c r="B78" s="1" t="s">
        <v>108</v>
      </c>
      <c r="C78" s="1" t="s">
        <v>81</v>
      </c>
      <c r="D78" s="1" t="s">
        <v>84</v>
      </c>
      <c r="E78" s="1" t="s">
        <v>87</v>
      </c>
      <c r="F78" s="1" t="s">
        <v>88</v>
      </c>
      <c r="H78" s="9"/>
      <c r="I78" s="1" t="s">
        <v>67</v>
      </c>
      <c r="J78" s="1">
        <f>COUNTIF(D70:D98,"Elegante")+COUNTIF(F70:F98,"Elegante")</f>
        <v>2</v>
      </c>
      <c r="L78" s="9"/>
      <c r="M78" s="1" t="s">
        <v>96</v>
      </c>
      <c r="N78" s="1">
        <f>COUNTIF(D70:D98,"Festa Junina")+COUNTIF(F70:F98,"Festa Junina")</f>
        <v>2</v>
      </c>
    </row>
    <row r="79" spans="1:14" x14ac:dyDescent="0.25">
      <c r="A79" s="1">
        <v>3</v>
      </c>
      <c r="B79" s="1" t="s">
        <v>109</v>
      </c>
      <c r="C79" s="1" t="s">
        <v>69</v>
      </c>
      <c r="D79" s="1" t="s">
        <v>73</v>
      </c>
      <c r="E79" s="1" t="s">
        <v>87</v>
      </c>
      <c r="F79" s="1" t="s">
        <v>88</v>
      </c>
      <c r="H79" s="9"/>
      <c r="I79" s="1" t="s">
        <v>79</v>
      </c>
      <c r="J79" s="1">
        <f>COUNTIF(D70:D98,"Selvagem")+COUNTIF(F70:F98,"Selvagem")</f>
        <v>2</v>
      </c>
      <c r="L79" s="9"/>
      <c r="M79" s="1" t="s">
        <v>97</v>
      </c>
      <c r="N79" s="1">
        <f>COUNTIF(D70:D98,"Halloween")+COUNTIF(F70:F98,"Halloween")</f>
        <v>2</v>
      </c>
    </row>
    <row r="80" spans="1:14" x14ac:dyDescent="0.25">
      <c r="A80" s="1">
        <v>3</v>
      </c>
      <c r="B80" s="1" t="s">
        <v>114</v>
      </c>
      <c r="C80" s="1" t="s">
        <v>87</v>
      </c>
      <c r="D80" s="1" t="s">
        <v>90</v>
      </c>
      <c r="E80" s="1" t="s">
        <v>93</v>
      </c>
      <c r="F80" s="1" t="s">
        <v>94</v>
      </c>
      <c r="H80" s="9"/>
      <c r="I80" s="1" t="s">
        <v>80</v>
      </c>
      <c r="J80" s="1">
        <f>COUNTIF(D70:D98,"Sombrio")+COUNTIF(F70:F98,"Sombrio")</f>
        <v>3</v>
      </c>
      <c r="L80" s="9"/>
      <c r="M80" s="1" t="s">
        <v>98</v>
      </c>
      <c r="N80" s="1">
        <f>COUNTIF(D70:D98,"Natal")+COUNTIF(F70:F98,"Natal")</f>
        <v>3</v>
      </c>
    </row>
    <row r="81" spans="1:14" x14ac:dyDescent="0.25">
      <c r="A81" s="1">
        <v>3</v>
      </c>
      <c r="B81" s="1" t="s">
        <v>115</v>
      </c>
      <c r="C81" s="1" t="s">
        <v>76</v>
      </c>
      <c r="D81" s="1" t="s">
        <v>79</v>
      </c>
      <c r="E81" s="1" t="s">
        <v>93</v>
      </c>
      <c r="F81" s="1" t="s">
        <v>96</v>
      </c>
    </row>
    <row r="82" spans="1:14" x14ac:dyDescent="0.25">
      <c r="A82" s="1">
        <v>3</v>
      </c>
      <c r="B82" s="1" t="s">
        <v>113</v>
      </c>
      <c r="C82" s="1" t="s">
        <v>81</v>
      </c>
      <c r="D82" s="1" t="s">
        <v>86</v>
      </c>
      <c r="E82" s="1" t="s">
        <v>93</v>
      </c>
      <c r="F82" s="1" t="s">
        <v>97</v>
      </c>
      <c r="H82" s="9" t="s">
        <v>81</v>
      </c>
      <c r="I82" s="1" t="s">
        <v>82</v>
      </c>
      <c r="J82" s="1">
        <f>COUNTIF(D70:D98,"Infantil")+COUNTIF(F70:F98,"Infantil")</f>
        <v>2</v>
      </c>
      <c r="M82" s="1" t="s">
        <v>99</v>
      </c>
      <c r="N82" s="1" cm="1">
        <f t="array" ref="N82">SUM(J70:J74+J76:J80+J82:J86+N70:N74+N76:N80)</f>
        <v>58</v>
      </c>
    </row>
    <row r="83" spans="1:14" x14ac:dyDescent="0.25">
      <c r="A83" s="1">
        <v>3</v>
      </c>
      <c r="B83" s="1" t="s">
        <v>110</v>
      </c>
      <c r="C83" s="1" t="s">
        <v>87</v>
      </c>
      <c r="D83" s="1" t="s">
        <v>91</v>
      </c>
      <c r="E83" s="1" t="s">
        <v>93</v>
      </c>
      <c r="F83" s="1" t="s">
        <v>98</v>
      </c>
      <c r="H83" s="9"/>
      <c r="I83" s="1" t="s">
        <v>83</v>
      </c>
      <c r="J83" s="1">
        <f>COUNTIF(D70:D98,"Comédia")+COUNTIF(F70:F98,"Comédia")</f>
        <v>2</v>
      </c>
    </row>
    <row r="84" spans="1:14" x14ac:dyDescent="0.25">
      <c r="A84" s="1">
        <v>3</v>
      </c>
      <c r="B84" s="1" t="s">
        <v>112</v>
      </c>
      <c r="C84" s="1" t="s">
        <v>69</v>
      </c>
      <c r="D84" s="1" t="s">
        <v>71</v>
      </c>
      <c r="E84" s="1" t="s">
        <v>81</v>
      </c>
      <c r="F84" s="1" t="s">
        <v>85</v>
      </c>
      <c r="H84" s="9"/>
      <c r="I84" s="1" t="s">
        <v>84</v>
      </c>
      <c r="J84" s="1">
        <f>COUNTIF(D70:D98,"Drama")+COUNTIF(F70:F98,"Drama")</f>
        <v>2</v>
      </c>
    </row>
    <row r="85" spans="1:14" x14ac:dyDescent="0.25">
      <c r="A85" s="1">
        <v>3</v>
      </c>
      <c r="B85" s="1" t="s">
        <v>111</v>
      </c>
      <c r="C85" s="1" t="s">
        <v>81</v>
      </c>
      <c r="D85" s="1" t="s">
        <v>82</v>
      </c>
      <c r="E85" s="1" t="s">
        <v>93</v>
      </c>
      <c r="F85" s="1" t="s">
        <v>95</v>
      </c>
      <c r="H85" s="9"/>
      <c r="I85" s="1" t="s">
        <v>85</v>
      </c>
      <c r="J85" s="1">
        <f>COUNTIF(D70:D98,"Sci-fi")+COUNTIF(F70:F98,"Sci-fi")</f>
        <v>2</v>
      </c>
    </row>
    <row r="86" spans="1:14" x14ac:dyDescent="0.25">
      <c r="A86" s="1">
        <v>3</v>
      </c>
      <c r="B86" s="1" t="s">
        <v>116</v>
      </c>
      <c r="C86" s="1" t="s">
        <v>81</v>
      </c>
      <c r="D86" s="1" t="s">
        <v>83</v>
      </c>
      <c r="E86" s="1" t="s">
        <v>87</v>
      </c>
      <c r="F86" s="1" t="s">
        <v>91</v>
      </c>
      <c r="H86" s="9"/>
      <c r="I86" s="1" t="s">
        <v>86</v>
      </c>
      <c r="J86" s="1">
        <f>COUNTIF(D70:D98,"Terror")+COUNTIF(F70:F98,"Terror")</f>
        <v>2</v>
      </c>
    </row>
    <row r="87" spans="1:14" x14ac:dyDescent="0.25">
      <c r="A87" s="1">
        <v>3</v>
      </c>
      <c r="B87" s="1" t="s">
        <v>117</v>
      </c>
      <c r="C87" s="1" t="s">
        <v>69</v>
      </c>
      <c r="D87" s="1" t="s">
        <v>71</v>
      </c>
      <c r="E87" s="1" t="s">
        <v>76</v>
      </c>
      <c r="F87" s="1" t="s">
        <v>80</v>
      </c>
      <c r="N87" s="3"/>
    </row>
    <row r="88" spans="1:14" x14ac:dyDescent="0.25">
      <c r="A88" s="1">
        <v>3</v>
      </c>
      <c r="B88" s="1" t="s">
        <v>118</v>
      </c>
      <c r="C88" s="1" t="s">
        <v>69</v>
      </c>
      <c r="D88" s="1" t="s">
        <v>70</v>
      </c>
      <c r="E88" s="1" t="s">
        <v>93</v>
      </c>
      <c r="F88" s="1" t="s">
        <v>94</v>
      </c>
    </row>
    <row r="89" spans="1:14" x14ac:dyDescent="0.25">
      <c r="A89" s="1">
        <v>3</v>
      </c>
      <c r="B89" s="1" t="s">
        <v>119</v>
      </c>
      <c r="C89" s="1" t="s">
        <v>81</v>
      </c>
      <c r="D89" s="1" t="s">
        <v>84</v>
      </c>
      <c r="E89" s="1" t="s">
        <v>76</v>
      </c>
      <c r="F89" s="1" t="s">
        <v>67</v>
      </c>
    </row>
    <row r="90" spans="1:14" x14ac:dyDescent="0.25">
      <c r="A90" s="1">
        <v>3</v>
      </c>
      <c r="B90" s="1" t="s">
        <v>120</v>
      </c>
      <c r="C90" s="1" t="s">
        <v>69</v>
      </c>
      <c r="D90" s="1" t="s">
        <v>70</v>
      </c>
      <c r="E90" s="1" t="s">
        <v>93</v>
      </c>
      <c r="F90" s="1" t="s">
        <v>98</v>
      </c>
    </row>
    <row r="91" spans="1:14" x14ac:dyDescent="0.25">
      <c r="A91" s="1">
        <v>3</v>
      </c>
      <c r="B91" s="1" t="s">
        <v>121</v>
      </c>
      <c r="C91" s="1" t="s">
        <v>81</v>
      </c>
      <c r="D91" s="1" t="s">
        <v>86</v>
      </c>
      <c r="E91" s="1" t="s">
        <v>87</v>
      </c>
      <c r="F91" s="1" t="s">
        <v>88</v>
      </c>
    </row>
    <row r="92" spans="1:14" x14ac:dyDescent="0.25">
      <c r="A92" s="1">
        <v>3</v>
      </c>
      <c r="B92" s="1" t="s">
        <v>122</v>
      </c>
      <c r="C92" s="1" t="s">
        <v>76</v>
      </c>
      <c r="D92" s="1" t="s">
        <v>78</v>
      </c>
      <c r="E92" s="1" t="s">
        <v>93</v>
      </c>
      <c r="F92" s="1" t="s">
        <v>96</v>
      </c>
    </row>
    <row r="93" spans="1:14" x14ac:dyDescent="0.25">
      <c r="A93" s="1">
        <v>3</v>
      </c>
      <c r="B93" s="1" t="s">
        <v>123</v>
      </c>
      <c r="C93" s="1" t="s">
        <v>76</v>
      </c>
      <c r="D93" s="1" t="s">
        <v>80</v>
      </c>
      <c r="E93" s="1" t="s">
        <v>81</v>
      </c>
      <c r="F93" s="1" t="s">
        <v>85</v>
      </c>
    </row>
    <row r="94" spans="1:14" x14ac:dyDescent="0.25">
      <c r="A94" s="1">
        <v>3</v>
      </c>
      <c r="B94" s="1" t="s">
        <v>124</v>
      </c>
      <c r="C94" s="1" t="s">
        <v>69</v>
      </c>
      <c r="D94" s="1" t="s">
        <v>72</v>
      </c>
      <c r="E94" s="1" t="s">
        <v>76</v>
      </c>
      <c r="F94" s="1" t="s">
        <v>67</v>
      </c>
    </row>
    <row r="95" spans="1:14" x14ac:dyDescent="0.25">
      <c r="A95" s="1">
        <v>3</v>
      </c>
      <c r="B95" s="1" t="s">
        <v>125</v>
      </c>
      <c r="C95" s="1" t="s">
        <v>81</v>
      </c>
      <c r="D95" s="1" t="s">
        <v>83</v>
      </c>
      <c r="E95" s="1" t="s">
        <v>87</v>
      </c>
      <c r="F95" s="1" t="s">
        <v>91</v>
      </c>
    </row>
    <row r="96" spans="1:14" x14ac:dyDescent="0.25">
      <c r="A96" s="1">
        <v>3</v>
      </c>
      <c r="B96" s="1" t="s">
        <v>126</v>
      </c>
      <c r="C96" s="1" t="s">
        <v>76</v>
      </c>
      <c r="D96" s="1" t="s">
        <v>80</v>
      </c>
      <c r="E96" s="1" t="s">
        <v>93</v>
      </c>
      <c r="F96" s="1" t="s">
        <v>98</v>
      </c>
    </row>
    <row r="97" spans="1:6" x14ac:dyDescent="0.25">
      <c r="A97" s="1">
        <v>3</v>
      </c>
      <c r="B97" s="1" t="s">
        <v>127</v>
      </c>
      <c r="C97" s="1" t="s">
        <v>69</v>
      </c>
      <c r="D97" s="1" t="s">
        <v>72</v>
      </c>
      <c r="E97" s="1" t="s">
        <v>76</v>
      </c>
      <c r="F97" s="1" t="s">
        <v>77</v>
      </c>
    </row>
    <row r="98" spans="1:6" x14ac:dyDescent="0.25">
      <c r="A98" s="1">
        <v>3</v>
      </c>
      <c r="B98" s="1" t="s">
        <v>128</v>
      </c>
      <c r="C98" s="1" t="s">
        <v>69</v>
      </c>
      <c r="D98" s="1" t="s">
        <v>66</v>
      </c>
      <c r="E98" s="1" t="s">
        <v>93</v>
      </c>
      <c r="F98" s="1" t="s">
        <v>95</v>
      </c>
    </row>
  </sheetData>
  <mergeCells count="16">
    <mergeCell ref="A1:T1"/>
    <mergeCell ref="H5:H9"/>
    <mergeCell ref="H11:H15"/>
    <mergeCell ref="H17:H21"/>
    <mergeCell ref="L5:L9"/>
    <mergeCell ref="L11:L15"/>
    <mergeCell ref="H76:H80"/>
    <mergeCell ref="L76:L80"/>
    <mergeCell ref="H82:H86"/>
    <mergeCell ref="H37:H41"/>
    <mergeCell ref="L37:L41"/>
    <mergeCell ref="H43:H47"/>
    <mergeCell ref="L43:L47"/>
    <mergeCell ref="H49:H53"/>
    <mergeCell ref="H70:H74"/>
    <mergeCell ref="L70:L74"/>
  </mergeCells>
  <conditionalFormatting sqref="A1:XFD1048576">
    <cfRule type="cellIs" dxfId="19" priority="93" operator="equal">
      <formula>"Vibe"</formula>
    </cfRule>
    <cfRule type="cellIs" dxfId="18" priority="94" operator="equal">
      <formula>"Celebração"</formula>
    </cfRule>
    <cfRule type="cellIs" dxfId="17" priority="95" operator="equal">
      <formula>"Tema"</formula>
    </cfRule>
    <cfRule type="cellIs" dxfId="16" priority="96" operator="equal">
      <formula>"Paleta"</formula>
    </cfRule>
    <cfRule type="cellIs" dxfId="15" priority="97" operator="equal">
      <formula>"Origem"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6963-C9C1-4817-8CE1-2EB22A511003}">
  <dimension ref="A1:F68"/>
  <sheetViews>
    <sheetView workbookViewId="0">
      <selection activeCell="B3" sqref="B3:C3"/>
    </sheetView>
  </sheetViews>
  <sheetFormatPr defaultColWidth="9.140625" defaultRowHeight="15" x14ac:dyDescent="0.25"/>
  <cols>
    <col min="1" max="1" width="14" style="1" bestFit="1" customWidth="1"/>
    <col min="2" max="2" width="2.140625" style="1" bestFit="1" customWidth="1"/>
    <col min="3" max="3" width="11.140625" style="1" bestFit="1" customWidth="1"/>
    <col min="4" max="16384" width="9.140625" style="1"/>
  </cols>
  <sheetData>
    <row r="1" spans="1:6" ht="34.5" x14ac:dyDescent="0.25">
      <c r="A1" s="10" t="s">
        <v>135</v>
      </c>
      <c r="B1" s="10"/>
      <c r="C1" s="10"/>
      <c r="D1" s="10"/>
      <c r="E1" s="10"/>
      <c r="F1" s="10"/>
    </row>
    <row r="3" spans="1:6" s="2" customFormat="1" ht="15.75" x14ac:dyDescent="0.25">
      <c r="A3" s="2" t="s">
        <v>3</v>
      </c>
      <c r="B3" s="4" t="s">
        <v>130</v>
      </c>
      <c r="C3" s="2" t="s">
        <v>129</v>
      </c>
      <c r="D3" s="2" t="s">
        <v>75</v>
      </c>
    </row>
    <row r="5" spans="1:6" x14ac:dyDescent="0.25">
      <c r="A5" s="1" t="s">
        <v>69</v>
      </c>
      <c r="B5"/>
      <c r="C5" s="1" t="s">
        <v>76</v>
      </c>
      <c r="D5" s="1">
        <f>COUNTIFS(CartasAtributos!C$5:C$98,"Origem",CartasAtributos!E$5:E$98,"Vibe")+COUNTIFS(CartasAtributos!C$5:C$98,"Vibe",CartasAtributos!E$5:E$98,"Origem")</f>
        <v>9</v>
      </c>
      <c r="F5" s="8" t="s">
        <v>134</v>
      </c>
    </row>
    <row r="6" spans="1:6" x14ac:dyDescent="0.25">
      <c r="A6" s="1" t="s">
        <v>69</v>
      </c>
      <c r="B6"/>
      <c r="C6" s="1" t="s">
        <v>81</v>
      </c>
      <c r="D6" s="1">
        <f>COUNTIFS(CartasAtributos!C$5:C$98,"Origem",CartasAtributos!E$5:E$98,"Tema")+COUNTIFS(CartasAtributos!C$5:C$98,"Tema",CartasAtributos!E$5:E$98,"Origem")</f>
        <v>9</v>
      </c>
      <c r="F6" s="8" t="s">
        <v>134</v>
      </c>
    </row>
    <row r="7" spans="1:6" x14ac:dyDescent="0.25">
      <c r="A7" s="1" t="s">
        <v>69</v>
      </c>
      <c r="B7"/>
      <c r="C7" s="1" t="s">
        <v>87</v>
      </c>
      <c r="D7" s="1">
        <f>COUNTIFS(CartasAtributos!C$5:C$98,"Origem",CartasAtributos!E$5:E$98,"Paleta")+COUNTIFS(CartasAtributos!C$5:C$98,"Paleta",CartasAtributos!E$5:E$98,"Origem")</f>
        <v>11</v>
      </c>
      <c r="F7" s="6" t="s">
        <v>132</v>
      </c>
    </row>
    <row r="8" spans="1:6" x14ac:dyDescent="0.25">
      <c r="A8" s="1" t="s">
        <v>69</v>
      </c>
      <c r="B8"/>
      <c r="C8" s="1" t="s">
        <v>93</v>
      </c>
      <c r="D8" s="1">
        <f>COUNTIFS(CartasAtributos!C$5:C$98,"Origem",CartasAtributos!E$5:E$98,"Celebração")+COUNTIFS(CartasAtributos!C$5:C$98,"Celebração",CartasAtributos!E$5:E$98,"Origem")</f>
        <v>6</v>
      </c>
    </row>
    <row r="9" spans="1:6" x14ac:dyDescent="0.25">
      <c r="A9" s="1" t="s">
        <v>76</v>
      </c>
      <c r="B9"/>
      <c r="C9" s="1" t="s">
        <v>81</v>
      </c>
      <c r="D9" s="1">
        <f>COUNTIFS(CartasAtributos!C$5:C$98,"Vibe",CartasAtributos!E$5:E$98,"Tema")+COUNTIFS(CartasAtributos!C$5:C$98,"Tema",CartasAtributos!E$5:E$98,"Vibe")</f>
        <v>7</v>
      </c>
    </row>
    <row r="10" spans="1:6" x14ac:dyDescent="0.25">
      <c r="A10" s="1" t="s">
        <v>76</v>
      </c>
      <c r="B10"/>
      <c r="C10" s="1" t="s">
        <v>87</v>
      </c>
      <c r="D10" s="1">
        <f>COUNTIFS(CartasAtributos!C$5:C$98,"Vibe",CartasAtributos!E$5:E$98,"Paleta")+COUNTIFS(CartasAtributos!C$5:C$98,"Paleta",CartasAtributos!E$5:E$98,"Vibe")</f>
        <v>6</v>
      </c>
    </row>
    <row r="11" spans="1:6" x14ac:dyDescent="0.25">
      <c r="A11" s="1" t="s">
        <v>76</v>
      </c>
      <c r="B11"/>
      <c r="C11" s="1" t="s">
        <v>93</v>
      </c>
      <c r="D11" s="1">
        <f>COUNTIFS(CartasAtributos!C$5:C$98,"Vibe",CartasAtributos!E$5:E$98,"Celebração")+COUNTIFS(CartasAtributos!C$5:C$98,"Celebração",CartasAtributos!E$5:E$98,"Vibe")</f>
        <v>14</v>
      </c>
      <c r="F11" s="5" t="s">
        <v>131</v>
      </c>
    </row>
    <row r="12" spans="1:6" x14ac:dyDescent="0.25">
      <c r="A12" s="1" t="s">
        <v>81</v>
      </c>
      <c r="B12"/>
      <c r="C12" s="1" t="s">
        <v>87</v>
      </c>
      <c r="D12" s="1">
        <f>COUNTIFS(CartasAtributos!C$5:C$98,"Tema",CartasAtributos!E$5:E$98,"Paleta")+COUNTIFS(CartasAtributos!C$5:C$98,"Paleta",CartasAtributos!E$5:E$98,"Tema")</f>
        <v>10</v>
      </c>
      <c r="F12" s="7" t="s">
        <v>133</v>
      </c>
    </row>
    <row r="13" spans="1:6" x14ac:dyDescent="0.25">
      <c r="A13" s="1" t="s">
        <v>81</v>
      </c>
      <c r="B13"/>
      <c r="C13" s="1" t="s">
        <v>93</v>
      </c>
      <c r="D13" s="1">
        <f>COUNTIFS(CartasAtributos!C$5:C$98,"Tema",CartasAtributos!E$5:E$98,"Celebração")+COUNTIFS(CartasAtributos!C$5:C$98,"Celebração",CartasAtributos!E$5:E$98,"Tema")</f>
        <v>7</v>
      </c>
    </row>
    <row r="14" spans="1:6" x14ac:dyDescent="0.25">
      <c r="A14" s="1" t="s">
        <v>87</v>
      </c>
      <c r="B14"/>
      <c r="C14" s="1" t="s">
        <v>93</v>
      </c>
      <c r="D14" s="1">
        <f>COUNTIFS(CartasAtributos!C$5:C$98,"Paleta",CartasAtributos!E$5:E$98,"Celebração")+COUNTIFS(CartasAtributos!C$5:C$98,"Celebração",CartasAtributos!E$5:E$98,"Paleta")</f>
        <v>8</v>
      </c>
    </row>
    <row r="35" spans="2:2" s="2" customFormat="1" ht="15.75" x14ac:dyDescent="0.25">
      <c r="B35" s="4"/>
    </row>
    <row r="68" s="2" customFormat="1" ht="15.75" x14ac:dyDescent="0.25"/>
  </sheetData>
  <mergeCells count="1">
    <mergeCell ref="A1:F1"/>
  </mergeCells>
  <conditionalFormatting sqref="A1 G1:XFD1 A2:XFD1048576">
    <cfRule type="cellIs" dxfId="14" priority="1" operator="equal">
      <formula>"Vibe"</formula>
    </cfRule>
    <cfRule type="cellIs" dxfId="13" priority="2" operator="equal">
      <formula>"Celebração"</formula>
    </cfRule>
    <cfRule type="cellIs" dxfId="12" priority="3" operator="equal">
      <formula>"Tema"</formula>
    </cfRule>
    <cfRule type="cellIs" dxfId="11" priority="4" operator="equal">
      <formula>"Paleta"</formula>
    </cfRule>
    <cfRule type="cellIs" dxfId="10" priority="5" operator="equal">
      <formula>"Origem"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77C-5EAB-7F40-BF96-1227511D4DD8}">
  <dimension ref="A1:I255"/>
  <sheetViews>
    <sheetView topLeftCell="A61" workbookViewId="0">
      <selection activeCell="A19" sqref="A19:XFD23"/>
    </sheetView>
  </sheetViews>
  <sheetFormatPr defaultColWidth="9.140625" defaultRowHeight="15" x14ac:dyDescent="0.25"/>
  <cols>
    <col min="1" max="1" width="10.5703125" style="1" bestFit="1" customWidth="1"/>
    <col min="2" max="2" width="9.85546875" style="1" bestFit="1" customWidth="1"/>
    <col min="3" max="3" width="2.140625" style="1" bestFit="1" customWidth="1"/>
    <col min="4" max="4" width="10.42578125" style="1" bestFit="1" customWidth="1"/>
    <col min="5" max="5" width="10" style="1" bestFit="1" customWidth="1"/>
    <col min="6" max="6" width="5.42578125" style="1" bestFit="1" customWidth="1"/>
    <col min="7" max="16384" width="9.140625" style="1"/>
  </cols>
  <sheetData>
    <row r="1" spans="1:9" ht="34.5" x14ac:dyDescent="0.25">
      <c r="B1" s="10" t="s">
        <v>136</v>
      </c>
      <c r="C1" s="10"/>
      <c r="D1" s="10"/>
      <c r="E1" s="10"/>
      <c r="F1" s="10"/>
      <c r="G1" s="10"/>
      <c r="H1" s="10"/>
      <c r="I1" s="10"/>
    </row>
    <row r="3" spans="1:9" s="2" customFormat="1" ht="15.75" x14ac:dyDescent="0.25">
      <c r="A3" s="2" t="s">
        <v>3</v>
      </c>
      <c r="B3" s="2" t="s">
        <v>6</v>
      </c>
      <c r="C3" s="4" t="s">
        <v>130</v>
      </c>
      <c r="D3" s="2" t="s">
        <v>129</v>
      </c>
      <c r="E3" s="4" t="s">
        <v>5</v>
      </c>
      <c r="F3" s="2" t="s">
        <v>75</v>
      </c>
    </row>
    <row r="4" spans="1:9" hidden="1" x14ac:dyDescent="0.25">
      <c r="A4" s="1" t="s">
        <v>69</v>
      </c>
      <c r="B4" s="1" t="s">
        <v>70</v>
      </c>
      <c r="D4" s="1" t="s">
        <v>76</v>
      </c>
      <c r="E4" s="1" t="s">
        <v>77</v>
      </c>
      <c r="F4" s="1">
        <f>COUNTIFS(CartasAtributos!D$5:D$98,B4,CartasAtributos!F$5:F$98,E4)+COUNTIFS(CartasAtributos!D$5:D$98,E4,CartasAtributos!F$5:F$98,B4)</f>
        <v>0</v>
      </c>
    </row>
    <row r="5" spans="1:9" hidden="1" x14ac:dyDescent="0.25">
      <c r="A5" s="1" t="s">
        <v>69</v>
      </c>
      <c r="B5" s="1" t="s">
        <v>70</v>
      </c>
      <c r="D5" s="1" t="s">
        <v>76</v>
      </c>
      <c r="E5" t="s">
        <v>78</v>
      </c>
      <c r="F5" s="1">
        <f>COUNTIFS(CartasAtributos!D$5:D$98,B5,CartasAtributos!F$5:F$98,E5)+COUNTIFS(CartasAtributos!D$5:D$98,E5,CartasAtributos!F$5:F$98,B5)</f>
        <v>0</v>
      </c>
    </row>
    <row r="6" spans="1:9" hidden="1" x14ac:dyDescent="0.25">
      <c r="A6" s="1" t="s">
        <v>69</v>
      </c>
      <c r="B6" s="1" t="s">
        <v>70</v>
      </c>
      <c r="D6" s="1" t="s">
        <v>76</v>
      </c>
      <c r="E6" t="s">
        <v>67</v>
      </c>
      <c r="F6" s="1">
        <f>COUNTIFS(CartasAtributos!D$5:D$98,B6,CartasAtributos!F$5:F$98,E6)+COUNTIFS(CartasAtributos!D$5:D$98,E6,CartasAtributos!F$5:F$98,B6)</f>
        <v>0</v>
      </c>
    </row>
    <row r="7" spans="1:9" x14ac:dyDescent="0.25">
      <c r="A7" s="1" t="s">
        <v>69</v>
      </c>
      <c r="B7" s="1" t="s">
        <v>70</v>
      </c>
      <c r="D7" s="1" t="s">
        <v>76</v>
      </c>
      <c r="E7" t="s">
        <v>79</v>
      </c>
      <c r="F7" s="1">
        <f>COUNTIFS(CartasAtributos!D$5:D$98,B7,CartasAtributos!F$5:F$98,E7)+COUNTIFS(CartasAtributos!D$5:D$98,E7,CartasAtributos!F$5:F$98,B7)</f>
        <v>1</v>
      </c>
    </row>
    <row r="8" spans="1:9" hidden="1" x14ac:dyDescent="0.25">
      <c r="A8" s="1" t="s">
        <v>69</v>
      </c>
      <c r="B8" s="1" t="s">
        <v>70</v>
      </c>
      <c r="D8" s="1" t="s">
        <v>76</v>
      </c>
      <c r="E8" t="s">
        <v>80</v>
      </c>
      <c r="F8" s="1">
        <f>COUNTIFS(CartasAtributos!D$5:D$98,B8,CartasAtributos!F$5:F$98,E8)+COUNTIFS(CartasAtributos!D$5:D$98,E8,CartasAtributos!F$5:F$98,B8)</f>
        <v>0</v>
      </c>
    </row>
    <row r="9" spans="1:9" hidden="1" x14ac:dyDescent="0.25">
      <c r="A9" s="1" t="s">
        <v>69</v>
      </c>
      <c r="B9" s="1" t="s">
        <v>66</v>
      </c>
      <c r="D9" s="1" t="s">
        <v>76</v>
      </c>
      <c r="E9" t="s">
        <v>77</v>
      </c>
      <c r="F9" s="1">
        <f>COUNTIFS(CartasAtributos!D$5:D$98,B9,CartasAtributos!F$5:F$98,E9)+COUNTIFS(CartasAtributos!D$5:D$98,E9,CartasAtributos!F$5:F$98,B9)</f>
        <v>0</v>
      </c>
    </row>
    <row r="10" spans="1:9" hidden="1" x14ac:dyDescent="0.25">
      <c r="A10" s="1" t="s">
        <v>69</v>
      </c>
      <c r="B10" s="1" t="s">
        <v>66</v>
      </c>
      <c r="D10" s="1" t="s">
        <v>76</v>
      </c>
      <c r="E10" t="s">
        <v>78</v>
      </c>
      <c r="F10" s="1">
        <f>COUNTIFS(CartasAtributos!D$5:D$98,B10,CartasAtributos!F$5:F$98,E10)+COUNTIFS(CartasAtributos!D$5:D$98,E10,CartasAtributos!F$5:F$98,B10)</f>
        <v>0</v>
      </c>
    </row>
    <row r="11" spans="1:9" x14ac:dyDescent="0.25">
      <c r="A11" s="1" t="s">
        <v>69</v>
      </c>
      <c r="B11" s="1" t="s">
        <v>66</v>
      </c>
      <c r="D11" s="1" t="s">
        <v>76</v>
      </c>
      <c r="E11" t="s">
        <v>67</v>
      </c>
      <c r="F11" s="1">
        <f>COUNTIFS(CartasAtributos!D$5:D$98,B11,CartasAtributos!F$5:F$98,E11)+COUNTIFS(CartasAtributos!D$5:D$98,E11,CartasAtributos!F$5:F$98,B11)</f>
        <v>1</v>
      </c>
    </row>
    <row r="12" spans="1:9" hidden="1" x14ac:dyDescent="0.25">
      <c r="A12" s="1" t="s">
        <v>69</v>
      </c>
      <c r="B12" s="1" t="s">
        <v>66</v>
      </c>
      <c r="D12" s="1" t="s">
        <v>76</v>
      </c>
      <c r="E12" t="s">
        <v>79</v>
      </c>
      <c r="F12" s="1">
        <f>COUNTIFS(CartasAtributos!D$5:D$98,B12,CartasAtributos!F$5:F$98,E12)+COUNTIFS(CartasAtributos!D$5:D$98,E12,CartasAtributos!F$5:F$98,B12)</f>
        <v>0</v>
      </c>
    </row>
    <row r="13" spans="1:9" hidden="1" x14ac:dyDescent="0.25">
      <c r="A13" s="1" t="s">
        <v>69</v>
      </c>
      <c r="B13" s="1" t="s">
        <v>66</v>
      </c>
      <c r="D13" s="1" t="s">
        <v>76</v>
      </c>
      <c r="E13" t="s">
        <v>80</v>
      </c>
      <c r="F13" s="1">
        <f>COUNTIFS(CartasAtributos!D$5:D$98,B13,CartasAtributos!F$5:F$98,E13)+COUNTIFS(CartasAtributos!D$5:D$98,E13,CartasAtributos!F$5:F$98,B13)</f>
        <v>0</v>
      </c>
    </row>
    <row r="14" spans="1:9" hidden="1" x14ac:dyDescent="0.25">
      <c r="A14" s="1" t="s">
        <v>69</v>
      </c>
      <c r="B14" s="1" t="s">
        <v>71</v>
      </c>
      <c r="D14" s="1" t="s">
        <v>76</v>
      </c>
      <c r="E14" t="s">
        <v>77</v>
      </c>
      <c r="F14" s="1">
        <f>COUNTIFS(CartasAtributos!D$5:D$98,B14,CartasAtributos!F$5:F$98,E14)+COUNTIFS(CartasAtributos!D$5:D$98,E14,CartasAtributos!F$5:F$98,B14)</f>
        <v>0</v>
      </c>
    </row>
    <row r="15" spans="1:9" hidden="1" x14ac:dyDescent="0.25">
      <c r="A15" s="1" t="s">
        <v>69</v>
      </c>
      <c r="B15" s="1" t="s">
        <v>71</v>
      </c>
      <c r="D15" s="1" t="s">
        <v>76</v>
      </c>
      <c r="E15" s="1" t="s">
        <v>78</v>
      </c>
      <c r="F15" s="1">
        <f>COUNTIFS(CartasAtributos!D$5:D$98,B15,CartasAtributos!F$5:F$98,E15)+COUNTIFS(CartasAtributos!D$5:D$98,E15,CartasAtributos!F$5:F$98,B15)</f>
        <v>0</v>
      </c>
    </row>
    <row r="16" spans="1:9" x14ac:dyDescent="0.25">
      <c r="A16" s="1" t="s">
        <v>69</v>
      </c>
      <c r="B16" s="1" t="s">
        <v>71</v>
      </c>
      <c r="D16" s="1" t="s">
        <v>76</v>
      </c>
      <c r="E16" s="1" t="s">
        <v>67</v>
      </c>
      <c r="F16" s="1">
        <f>COUNTIFS(CartasAtributos!D$5:D$98,B16,CartasAtributos!F$5:F$98,E16)+COUNTIFS(CartasAtributos!D$5:D$98,E16,CartasAtributos!F$5:F$98,B16)</f>
        <v>1</v>
      </c>
    </row>
    <row r="17" spans="1:6" x14ac:dyDescent="0.25">
      <c r="A17" s="1" t="s">
        <v>69</v>
      </c>
      <c r="B17" s="1" t="s">
        <v>71</v>
      </c>
      <c r="D17" s="1" t="s">
        <v>76</v>
      </c>
      <c r="E17" s="1" t="s">
        <v>79</v>
      </c>
      <c r="F17" s="1">
        <f>COUNTIFS(CartasAtributos!D$5:D$98,B17,CartasAtributos!F$5:F$98,E17)+COUNTIFS(CartasAtributos!D$5:D$98,E17,CartasAtributos!F$5:F$98,B17)</f>
        <v>1</v>
      </c>
    </row>
    <row r="18" spans="1:6" x14ac:dyDescent="0.25">
      <c r="A18" s="1" t="s">
        <v>69</v>
      </c>
      <c r="B18" s="1" t="s">
        <v>71</v>
      </c>
      <c r="D18" s="1" t="s">
        <v>76</v>
      </c>
      <c r="E18" s="1" t="s">
        <v>80</v>
      </c>
      <c r="F18" s="1">
        <f>COUNTIFS(CartasAtributos!D$5:D$98,B18,CartasAtributos!F$5:F$98,E18)+COUNTIFS(CartasAtributos!D$5:D$98,E18,CartasAtributos!F$5:F$98,B18)</f>
        <v>2</v>
      </c>
    </row>
    <row r="19" spans="1:6" x14ac:dyDescent="0.25">
      <c r="A19" s="1" t="s">
        <v>69</v>
      </c>
      <c r="B19" s="1" t="s">
        <v>72</v>
      </c>
      <c r="D19" s="1" t="s">
        <v>76</v>
      </c>
      <c r="E19" s="1" t="s">
        <v>77</v>
      </c>
      <c r="F19" s="1">
        <f>COUNTIFS(CartasAtributos!D$5:D$98,B19,CartasAtributos!F$5:F$98,E19)+COUNTIFS(CartasAtributos!D$5:D$98,E19,CartasAtributos!F$5:F$98,B19)</f>
        <v>1</v>
      </c>
    </row>
    <row r="20" spans="1:6" hidden="1" x14ac:dyDescent="0.25">
      <c r="A20" s="1" t="s">
        <v>69</v>
      </c>
      <c r="B20" s="1" t="s">
        <v>72</v>
      </c>
      <c r="D20" s="1" t="s">
        <v>76</v>
      </c>
      <c r="E20" s="1" t="s">
        <v>78</v>
      </c>
      <c r="F20" s="1">
        <f>COUNTIFS(CartasAtributos!D$5:D$98,B20,CartasAtributos!F$5:F$98,E20)+COUNTIFS(CartasAtributos!D$5:D$98,E20,CartasAtributos!F$5:F$98,B20)</f>
        <v>0</v>
      </c>
    </row>
    <row r="21" spans="1:6" x14ac:dyDescent="0.25">
      <c r="A21" s="1" t="s">
        <v>69</v>
      </c>
      <c r="B21" s="1" t="s">
        <v>72</v>
      </c>
      <c r="D21" s="1" t="s">
        <v>76</v>
      </c>
      <c r="E21" s="1" t="s">
        <v>67</v>
      </c>
      <c r="F21" s="1">
        <f>COUNTIFS(CartasAtributos!D$5:D$98,B21,CartasAtributos!F$5:F$98,E21)+COUNTIFS(CartasAtributos!D$5:D$98,E21,CartasAtributos!F$5:F$98,B21)</f>
        <v>1</v>
      </c>
    </row>
    <row r="22" spans="1:6" hidden="1" x14ac:dyDescent="0.25">
      <c r="A22" s="1" t="s">
        <v>69</v>
      </c>
      <c r="B22" s="1" t="s">
        <v>72</v>
      </c>
      <c r="D22" s="1" t="s">
        <v>76</v>
      </c>
      <c r="E22" s="1" t="s">
        <v>79</v>
      </c>
      <c r="F22" s="1">
        <f>COUNTIFS(CartasAtributos!D$5:D$98,B22,CartasAtributos!F$5:F$98,E22)+COUNTIFS(CartasAtributos!D$5:D$98,E22,CartasAtributos!F$5:F$98,B22)</f>
        <v>0</v>
      </c>
    </row>
    <row r="23" spans="1:6" x14ac:dyDescent="0.25">
      <c r="A23" s="1" t="s">
        <v>69</v>
      </c>
      <c r="B23" s="1" t="s">
        <v>72</v>
      </c>
      <c r="D23" s="1" t="s">
        <v>76</v>
      </c>
      <c r="E23" s="1" t="s">
        <v>80</v>
      </c>
      <c r="F23" s="1">
        <f>COUNTIFS(CartasAtributos!D$5:D$98,B23,CartasAtributos!F$5:F$98,E23)+COUNTIFS(CartasAtributos!D$5:D$98,E23,CartasAtributos!F$5:F$98,B23)</f>
        <v>1</v>
      </c>
    </row>
    <row r="24" spans="1:6" hidden="1" x14ac:dyDescent="0.25">
      <c r="A24" s="1" t="s">
        <v>69</v>
      </c>
      <c r="B24" s="1" t="s">
        <v>73</v>
      </c>
      <c r="D24" s="1" t="s">
        <v>76</v>
      </c>
      <c r="E24" s="1" t="s">
        <v>77</v>
      </c>
      <c r="F24" s="1">
        <f>COUNTIFS(CartasAtributos!D$5:D$98,B24,CartasAtributos!F$5:F$98,E24)+COUNTIFS(CartasAtributos!D$5:D$98,E24,CartasAtributos!F$5:F$98,B24)</f>
        <v>0</v>
      </c>
    </row>
    <row r="25" spans="1:6" hidden="1" x14ac:dyDescent="0.25">
      <c r="A25" s="1" t="s">
        <v>69</v>
      </c>
      <c r="B25" s="1" t="s">
        <v>73</v>
      </c>
      <c r="D25" s="1" t="s">
        <v>76</v>
      </c>
      <c r="E25" s="1" t="s">
        <v>78</v>
      </c>
      <c r="F25" s="1">
        <f>COUNTIFS(CartasAtributos!D$5:D$98,B25,CartasAtributos!F$5:F$98,E25)+COUNTIFS(CartasAtributos!D$5:D$98,E25,CartasAtributos!F$5:F$98,B25)</f>
        <v>0</v>
      </c>
    </row>
    <row r="26" spans="1:6" hidden="1" x14ac:dyDescent="0.25">
      <c r="A26" s="1" t="s">
        <v>69</v>
      </c>
      <c r="B26" s="1" t="s">
        <v>73</v>
      </c>
      <c r="D26" s="1" t="s">
        <v>76</v>
      </c>
      <c r="E26" s="1" t="s">
        <v>67</v>
      </c>
      <c r="F26" s="1">
        <f>COUNTIFS(CartasAtributos!D$5:D$98,B26,CartasAtributos!F$5:F$98,E26)+COUNTIFS(CartasAtributos!D$5:D$98,E26,CartasAtributos!F$5:F$98,B26)</f>
        <v>0</v>
      </c>
    </row>
    <row r="27" spans="1:6" hidden="1" x14ac:dyDescent="0.25">
      <c r="A27" s="1" t="s">
        <v>69</v>
      </c>
      <c r="B27" s="1" t="s">
        <v>73</v>
      </c>
      <c r="D27" s="1" t="s">
        <v>76</v>
      </c>
      <c r="E27" s="1" t="s">
        <v>79</v>
      </c>
      <c r="F27" s="1">
        <f>COUNTIFS(CartasAtributos!D$5:D$98,B27,CartasAtributos!F$5:F$98,E27)+COUNTIFS(CartasAtributos!D$5:D$98,E27,CartasAtributos!F$5:F$98,B27)</f>
        <v>0</v>
      </c>
    </row>
    <row r="28" spans="1:6" hidden="1" x14ac:dyDescent="0.25">
      <c r="A28" s="1" t="s">
        <v>69</v>
      </c>
      <c r="B28" s="1" t="s">
        <v>73</v>
      </c>
      <c r="D28" s="1" t="s">
        <v>76</v>
      </c>
      <c r="E28" s="1" t="s">
        <v>80</v>
      </c>
      <c r="F28" s="1">
        <f>COUNTIFS(CartasAtributos!D$5:D$98,B28,CartasAtributos!F$5:F$98,E28)+COUNTIFS(CartasAtributos!D$5:D$98,E28,CartasAtributos!F$5:F$98,B28)</f>
        <v>0</v>
      </c>
    </row>
    <row r="29" spans="1:6" x14ac:dyDescent="0.25">
      <c r="A29" s="1" t="s">
        <v>69</v>
      </c>
      <c r="B29" s="1" t="s">
        <v>70</v>
      </c>
      <c r="D29" s="1" t="s">
        <v>81</v>
      </c>
      <c r="E29" s="1" t="s">
        <v>82</v>
      </c>
      <c r="F29" s="1">
        <f>COUNTIFS(CartasAtributos!D$5:D$98,B29,CartasAtributos!F$5:F$98,E29)+COUNTIFS(CartasAtributos!D$5:D$98,E29,CartasAtributos!F$5:F$98,B29)</f>
        <v>1</v>
      </c>
    </row>
    <row r="30" spans="1:6" hidden="1" x14ac:dyDescent="0.25">
      <c r="A30" s="1" t="s">
        <v>69</v>
      </c>
      <c r="B30" s="1" t="s">
        <v>70</v>
      </c>
      <c r="D30" s="1" t="s">
        <v>81</v>
      </c>
      <c r="E30" s="1" t="s">
        <v>83</v>
      </c>
      <c r="F30" s="1">
        <f>COUNTIFS(CartasAtributos!D$5:D$98,B30,CartasAtributos!F$5:F$98,E30)+COUNTIFS(CartasAtributos!D$5:D$98,E30,CartasAtributos!F$5:F$98,B30)</f>
        <v>0</v>
      </c>
    </row>
    <row r="31" spans="1:6" hidden="1" x14ac:dyDescent="0.25">
      <c r="A31" s="1" t="s">
        <v>69</v>
      </c>
      <c r="B31" s="1" t="s">
        <v>70</v>
      </c>
      <c r="D31" s="1" t="s">
        <v>81</v>
      </c>
      <c r="E31" s="1" t="s">
        <v>84</v>
      </c>
      <c r="F31" s="1">
        <f>COUNTIFS(CartasAtributos!D$5:D$98,B31,CartasAtributos!F$5:F$98,E31)+COUNTIFS(CartasAtributos!D$5:D$98,E31,CartasAtributos!F$5:F$98,B31)</f>
        <v>0</v>
      </c>
    </row>
    <row r="32" spans="1:6" hidden="1" x14ac:dyDescent="0.25">
      <c r="A32" s="1" t="s">
        <v>69</v>
      </c>
      <c r="B32" s="1" t="s">
        <v>70</v>
      </c>
      <c r="D32" s="1" t="s">
        <v>81</v>
      </c>
      <c r="E32" s="1" t="s">
        <v>85</v>
      </c>
      <c r="F32" s="1">
        <f>COUNTIFS(CartasAtributos!D$5:D$98,B32,CartasAtributos!F$5:F$98,E32)+COUNTIFS(CartasAtributos!D$5:D$98,E32,CartasAtributos!F$5:F$98,B32)</f>
        <v>0</v>
      </c>
    </row>
    <row r="33" spans="1:6" hidden="1" x14ac:dyDescent="0.25">
      <c r="A33" s="1" t="s">
        <v>69</v>
      </c>
      <c r="B33" s="1" t="s">
        <v>70</v>
      </c>
      <c r="D33" s="1" t="s">
        <v>81</v>
      </c>
      <c r="E33" t="s">
        <v>86</v>
      </c>
      <c r="F33" s="1">
        <f>COUNTIFS(CartasAtributos!D$5:D$98,B33,CartasAtributos!F$5:F$98,E33)+COUNTIFS(CartasAtributos!D$5:D$98,E33,CartasAtributos!F$5:F$98,B33)</f>
        <v>0</v>
      </c>
    </row>
    <row r="34" spans="1:6" x14ac:dyDescent="0.25">
      <c r="A34" s="1" t="s">
        <v>69</v>
      </c>
      <c r="B34" s="1" t="s">
        <v>66</v>
      </c>
      <c r="D34" s="1" t="s">
        <v>81</v>
      </c>
      <c r="E34" t="s">
        <v>82</v>
      </c>
      <c r="F34" s="1">
        <f>COUNTIFS(CartasAtributos!D$5:D$98,B34,CartasAtributos!F$5:F$98,E34)+COUNTIFS(CartasAtributos!D$5:D$98,E34,CartasAtributos!F$5:F$98,B34)</f>
        <v>1</v>
      </c>
    </row>
    <row r="35" spans="1:6" s="2" customFormat="1" ht="15.75" hidden="1" x14ac:dyDescent="0.25">
      <c r="A35" s="1" t="s">
        <v>69</v>
      </c>
      <c r="B35" s="1" t="s">
        <v>66</v>
      </c>
      <c r="D35" s="1" t="s">
        <v>81</v>
      </c>
      <c r="E35" t="s">
        <v>83</v>
      </c>
      <c r="F35" s="1">
        <f>COUNTIFS(CartasAtributos!D$5:D$98,B35,CartasAtributos!F$5:F$98,E35)+COUNTIFS(CartasAtributos!D$5:D$98,E35,CartasAtributos!F$5:F$98,B35)</f>
        <v>0</v>
      </c>
    </row>
    <row r="36" spans="1:6" hidden="1" x14ac:dyDescent="0.25">
      <c r="A36" s="1" t="s">
        <v>69</v>
      </c>
      <c r="B36" s="1" t="s">
        <v>66</v>
      </c>
      <c r="D36" s="1" t="s">
        <v>81</v>
      </c>
      <c r="E36" t="s">
        <v>84</v>
      </c>
      <c r="F36" s="1">
        <f>COUNTIFS(CartasAtributos!D$5:D$98,B36,CartasAtributos!F$5:F$98,E36)+COUNTIFS(CartasAtributos!D$5:D$98,E36,CartasAtributos!F$5:F$98,B36)</f>
        <v>0</v>
      </c>
    </row>
    <row r="37" spans="1:6" hidden="1" x14ac:dyDescent="0.25">
      <c r="A37" s="1" t="s">
        <v>69</v>
      </c>
      <c r="B37" s="1" t="s">
        <v>66</v>
      </c>
      <c r="D37" s="1" t="s">
        <v>81</v>
      </c>
      <c r="E37" t="s">
        <v>85</v>
      </c>
      <c r="F37" s="1">
        <f>COUNTIFS(CartasAtributos!D$5:D$98,B37,CartasAtributos!F$5:F$98,E37)+COUNTIFS(CartasAtributos!D$5:D$98,E37,CartasAtributos!F$5:F$98,B37)</f>
        <v>0</v>
      </c>
    </row>
    <row r="38" spans="1:6" x14ac:dyDescent="0.25">
      <c r="A38" s="1" t="s">
        <v>69</v>
      </c>
      <c r="B38" s="1" t="s">
        <v>66</v>
      </c>
      <c r="D38" s="1" t="s">
        <v>81</v>
      </c>
      <c r="E38" t="s">
        <v>86</v>
      </c>
      <c r="F38" s="1">
        <f>COUNTIFS(CartasAtributos!D$5:D$98,B38,CartasAtributos!F$5:F$98,E38)+COUNTIFS(CartasAtributos!D$5:D$98,E38,CartasAtributos!F$5:F$98,B38)</f>
        <v>1</v>
      </c>
    </row>
    <row r="39" spans="1:6" x14ac:dyDescent="0.25">
      <c r="A39" s="1" t="s">
        <v>69</v>
      </c>
      <c r="B39" s="1" t="s">
        <v>71</v>
      </c>
      <c r="D39" s="1" t="s">
        <v>81</v>
      </c>
      <c r="E39" t="s">
        <v>82</v>
      </c>
      <c r="F39" s="1">
        <f>COUNTIFS(CartasAtributos!D$5:D$98,B39,CartasAtributos!F$5:F$98,E39)+COUNTIFS(CartasAtributos!D$5:D$98,E39,CartasAtributos!F$5:F$98,B39)</f>
        <v>1</v>
      </c>
    </row>
    <row r="40" spans="1:6" hidden="1" x14ac:dyDescent="0.25">
      <c r="A40" s="1" t="s">
        <v>69</v>
      </c>
      <c r="B40" s="1" t="s">
        <v>71</v>
      </c>
      <c r="D40" s="1" t="s">
        <v>81</v>
      </c>
      <c r="E40" s="1" t="s">
        <v>83</v>
      </c>
      <c r="F40" s="1">
        <f>COUNTIFS(CartasAtributos!D$5:D$98,B40,CartasAtributos!F$5:F$98,E40)+COUNTIFS(CartasAtributos!D$5:D$98,E40,CartasAtributos!F$5:F$98,B40)</f>
        <v>0</v>
      </c>
    </row>
    <row r="41" spans="1:6" x14ac:dyDescent="0.25">
      <c r="A41" s="1" t="s">
        <v>69</v>
      </c>
      <c r="B41" s="1" t="s">
        <v>71</v>
      </c>
      <c r="D41" s="1" t="s">
        <v>81</v>
      </c>
      <c r="E41" s="1" t="s">
        <v>84</v>
      </c>
      <c r="F41" s="1">
        <f>COUNTIFS(CartasAtributos!D$5:D$98,B41,CartasAtributos!F$5:F$98,E41)+COUNTIFS(CartasAtributos!D$5:D$98,E41,CartasAtributos!F$5:F$98,B41)</f>
        <v>1</v>
      </c>
    </row>
    <row r="42" spans="1:6" x14ac:dyDescent="0.25">
      <c r="A42" s="1" t="s">
        <v>69</v>
      </c>
      <c r="B42" s="1" t="s">
        <v>71</v>
      </c>
      <c r="D42" s="1" t="s">
        <v>81</v>
      </c>
      <c r="E42" s="1" t="s">
        <v>85</v>
      </c>
      <c r="F42" s="1">
        <f>COUNTIFS(CartasAtributos!D$5:D$98,B42,CartasAtributos!F$5:F$98,E42)+COUNTIFS(CartasAtributos!D$5:D$98,E42,CartasAtributos!F$5:F$98,B42)</f>
        <v>1</v>
      </c>
    </row>
    <row r="43" spans="1:6" hidden="1" x14ac:dyDescent="0.25">
      <c r="A43" s="1" t="s">
        <v>69</v>
      </c>
      <c r="B43" s="1" t="s">
        <v>71</v>
      </c>
      <c r="D43" s="1" t="s">
        <v>81</v>
      </c>
      <c r="E43" s="1" t="s">
        <v>86</v>
      </c>
      <c r="F43" s="1">
        <f>COUNTIFS(CartasAtributos!D$5:D$98,B43,CartasAtributos!F$5:F$98,E43)+COUNTIFS(CartasAtributos!D$5:D$98,E43,CartasAtributos!F$5:F$98,B43)</f>
        <v>0</v>
      </c>
    </row>
    <row r="44" spans="1:6" hidden="1" x14ac:dyDescent="0.25">
      <c r="A44" s="1" t="s">
        <v>69</v>
      </c>
      <c r="B44" s="1" t="s">
        <v>72</v>
      </c>
      <c r="D44" s="1" t="s">
        <v>81</v>
      </c>
      <c r="E44" s="1" t="s">
        <v>82</v>
      </c>
      <c r="F44" s="1">
        <f>COUNTIFS(CartasAtributos!D$5:D$98,B44,CartasAtributos!F$5:F$98,E44)+COUNTIFS(CartasAtributos!D$5:D$98,E44,CartasAtributos!F$5:F$98,B44)</f>
        <v>0</v>
      </c>
    </row>
    <row r="45" spans="1:6" hidden="1" x14ac:dyDescent="0.25">
      <c r="A45" s="1" t="s">
        <v>69</v>
      </c>
      <c r="B45" s="1" t="s">
        <v>72</v>
      </c>
      <c r="D45" s="1" t="s">
        <v>81</v>
      </c>
      <c r="E45" s="1" t="s">
        <v>83</v>
      </c>
      <c r="F45" s="1">
        <f>COUNTIFS(CartasAtributos!D$5:D$98,B45,CartasAtributos!F$5:F$98,E45)+COUNTIFS(CartasAtributos!D$5:D$98,E45,CartasAtributos!F$5:F$98,B45)</f>
        <v>0</v>
      </c>
    </row>
    <row r="46" spans="1:6" hidden="1" x14ac:dyDescent="0.25">
      <c r="A46" s="1" t="s">
        <v>69</v>
      </c>
      <c r="B46" s="1" t="s">
        <v>72</v>
      </c>
      <c r="D46" s="1" t="s">
        <v>81</v>
      </c>
      <c r="E46" s="1" t="s">
        <v>84</v>
      </c>
      <c r="F46" s="1">
        <f>COUNTIFS(CartasAtributos!D$5:D$98,B46,CartasAtributos!F$5:F$98,E46)+COUNTIFS(CartasAtributos!D$5:D$98,E46,CartasAtributos!F$5:F$98,B46)</f>
        <v>0</v>
      </c>
    </row>
    <row r="47" spans="1:6" x14ac:dyDescent="0.25">
      <c r="A47" s="1" t="s">
        <v>69</v>
      </c>
      <c r="B47" s="1" t="s">
        <v>72</v>
      </c>
      <c r="D47" s="1" t="s">
        <v>81</v>
      </c>
      <c r="E47" s="1" t="s">
        <v>85</v>
      </c>
      <c r="F47" s="1">
        <f>COUNTIFS(CartasAtributos!D$5:D$98,B47,CartasAtributos!F$5:F$98,E47)+COUNTIFS(CartasAtributos!D$5:D$98,E47,CartasAtributos!F$5:F$98,B47)</f>
        <v>1</v>
      </c>
    </row>
    <row r="48" spans="1:6" x14ac:dyDescent="0.25">
      <c r="A48" s="1" t="s">
        <v>69</v>
      </c>
      <c r="B48" s="1" t="s">
        <v>72</v>
      </c>
      <c r="D48" s="1" t="s">
        <v>81</v>
      </c>
      <c r="E48" s="1" t="s">
        <v>86</v>
      </c>
      <c r="F48" s="1">
        <f>COUNTIFS(CartasAtributos!D$5:D$98,B48,CartasAtributos!F$5:F$98,E48)+COUNTIFS(CartasAtributos!D$5:D$98,E48,CartasAtributos!F$5:F$98,B48)</f>
        <v>1</v>
      </c>
    </row>
    <row r="49" spans="1:6" hidden="1" x14ac:dyDescent="0.25">
      <c r="A49" s="1" t="s">
        <v>69</v>
      </c>
      <c r="B49" s="1" t="s">
        <v>73</v>
      </c>
      <c r="D49" s="1" t="s">
        <v>81</v>
      </c>
      <c r="E49" s="1" t="s">
        <v>82</v>
      </c>
      <c r="F49" s="1">
        <f>COUNTIFS(CartasAtributos!D$5:D$98,B49,CartasAtributos!F$5:F$98,E49)+COUNTIFS(CartasAtributos!D$5:D$98,E49,CartasAtributos!F$5:F$98,B49)</f>
        <v>0</v>
      </c>
    </row>
    <row r="50" spans="1:6" hidden="1" x14ac:dyDescent="0.25">
      <c r="A50" s="1" t="s">
        <v>69</v>
      </c>
      <c r="B50" s="1" t="s">
        <v>73</v>
      </c>
      <c r="D50" s="1" t="s">
        <v>81</v>
      </c>
      <c r="E50" s="1" t="s">
        <v>83</v>
      </c>
      <c r="F50" s="1">
        <f>COUNTIFS(CartasAtributos!D$5:D$98,B50,CartasAtributos!F$5:F$98,E50)+COUNTIFS(CartasAtributos!D$5:D$98,E50,CartasAtributos!F$5:F$98,B50)</f>
        <v>0</v>
      </c>
    </row>
    <row r="51" spans="1:6" hidden="1" x14ac:dyDescent="0.25">
      <c r="A51" s="1" t="s">
        <v>69</v>
      </c>
      <c r="B51" s="1" t="s">
        <v>73</v>
      </c>
      <c r="D51" s="1" t="s">
        <v>81</v>
      </c>
      <c r="E51" s="1" t="s">
        <v>84</v>
      </c>
      <c r="F51" s="1">
        <f>COUNTIFS(CartasAtributos!D$5:D$98,B51,CartasAtributos!F$5:F$98,E51)+COUNTIFS(CartasAtributos!D$5:D$98,E51,CartasAtributos!F$5:F$98,B51)</f>
        <v>0</v>
      </c>
    </row>
    <row r="52" spans="1:6" x14ac:dyDescent="0.25">
      <c r="A52" s="1" t="s">
        <v>69</v>
      </c>
      <c r="B52" s="1" t="s">
        <v>73</v>
      </c>
      <c r="D52" s="1" t="s">
        <v>81</v>
      </c>
      <c r="E52" s="1" t="s">
        <v>85</v>
      </c>
      <c r="F52" s="1">
        <f>COUNTIFS(CartasAtributos!D$5:D$98,B52,CartasAtributos!F$5:F$98,E52)+COUNTIFS(CartasAtributos!D$5:D$98,E52,CartasAtributos!F$5:F$98,B52)</f>
        <v>1</v>
      </c>
    </row>
    <row r="53" spans="1:6" hidden="1" x14ac:dyDescent="0.25">
      <c r="A53" s="1" t="s">
        <v>69</v>
      </c>
      <c r="B53" s="1" t="s">
        <v>73</v>
      </c>
      <c r="D53" s="1" t="s">
        <v>81</v>
      </c>
      <c r="E53" s="1" t="s">
        <v>86</v>
      </c>
      <c r="F53" s="1">
        <f>COUNTIFS(CartasAtributos!D$5:D$98,B53,CartasAtributos!F$5:F$98,E53)+COUNTIFS(CartasAtributos!D$5:D$98,E53,CartasAtributos!F$5:F$98,B53)</f>
        <v>0</v>
      </c>
    </row>
    <row r="54" spans="1:6" x14ac:dyDescent="0.25">
      <c r="A54" s="1" t="s">
        <v>69</v>
      </c>
      <c r="B54" s="1" t="s">
        <v>70</v>
      </c>
      <c r="D54" s="1" t="s">
        <v>87</v>
      </c>
      <c r="E54" s="1" t="s">
        <v>88</v>
      </c>
      <c r="F54" s="1">
        <f>COUNTIFS(CartasAtributos!D$5:D$98,B54,CartasAtributos!F$5:F$98,E54)+COUNTIFS(CartasAtributos!D$5:D$98,E54,CartasAtributos!F$5:F$98,B54)</f>
        <v>1</v>
      </c>
    </row>
    <row r="55" spans="1:6" x14ac:dyDescent="0.25">
      <c r="A55" s="1" t="s">
        <v>69</v>
      </c>
      <c r="B55" s="1" t="s">
        <v>70</v>
      </c>
      <c r="D55" s="1" t="s">
        <v>87</v>
      </c>
      <c r="E55" s="1" t="s">
        <v>89</v>
      </c>
      <c r="F55" s="1">
        <f>COUNTIFS(CartasAtributos!D$5:D$98,B55,CartasAtributos!F$5:F$98,E55)+COUNTIFS(CartasAtributos!D$5:D$98,E55,CartasAtributos!F$5:F$98,B55)</f>
        <v>1</v>
      </c>
    </row>
    <row r="56" spans="1:6" hidden="1" x14ac:dyDescent="0.25">
      <c r="A56" s="1" t="s">
        <v>69</v>
      </c>
      <c r="B56" s="1" t="s">
        <v>70</v>
      </c>
      <c r="D56" s="1" t="s">
        <v>87</v>
      </c>
      <c r="E56" s="1" t="s">
        <v>90</v>
      </c>
      <c r="F56" s="1">
        <f>COUNTIFS(CartasAtributos!D$5:D$98,B56,CartasAtributos!F$5:F$98,E56)+COUNTIFS(CartasAtributos!D$5:D$98,E56,CartasAtributos!F$5:F$98,B56)</f>
        <v>0</v>
      </c>
    </row>
    <row r="57" spans="1:6" hidden="1" x14ac:dyDescent="0.25">
      <c r="A57" s="1" t="s">
        <v>69</v>
      </c>
      <c r="B57" s="1" t="s">
        <v>70</v>
      </c>
      <c r="D57" s="1" t="s">
        <v>87</v>
      </c>
      <c r="E57" s="1" t="s">
        <v>91</v>
      </c>
      <c r="F57" s="1">
        <f>COUNTIFS(CartasAtributos!D$5:D$98,B57,CartasAtributos!F$5:F$98,E57)+COUNTIFS(CartasAtributos!D$5:D$98,E57,CartasAtributos!F$5:F$98,B57)</f>
        <v>0</v>
      </c>
    </row>
    <row r="58" spans="1:6" hidden="1" x14ac:dyDescent="0.25">
      <c r="A58" s="1" t="s">
        <v>69</v>
      </c>
      <c r="B58" s="1" t="s">
        <v>70</v>
      </c>
      <c r="D58" s="1" t="s">
        <v>87</v>
      </c>
      <c r="E58" s="1" t="s">
        <v>92</v>
      </c>
      <c r="F58" s="1">
        <f>COUNTIFS(CartasAtributos!D$5:D$98,B58,CartasAtributos!F$5:F$98,E58)+COUNTIFS(CartasAtributos!D$5:D$98,E58,CartasAtributos!F$5:F$98,B58)</f>
        <v>0</v>
      </c>
    </row>
    <row r="59" spans="1:6" hidden="1" x14ac:dyDescent="0.25">
      <c r="A59" s="1" t="s">
        <v>69</v>
      </c>
      <c r="B59" s="1" t="s">
        <v>66</v>
      </c>
      <c r="D59" s="1" t="s">
        <v>87</v>
      </c>
      <c r="E59" s="1" t="s">
        <v>88</v>
      </c>
      <c r="F59" s="1">
        <f>COUNTIFS(CartasAtributos!D$5:D$98,B59,CartasAtributos!F$5:F$98,E59)+COUNTIFS(CartasAtributos!D$5:D$98,E59,CartasAtributos!F$5:F$98,B59)</f>
        <v>0</v>
      </c>
    </row>
    <row r="60" spans="1:6" hidden="1" x14ac:dyDescent="0.25">
      <c r="A60" s="1" t="s">
        <v>69</v>
      </c>
      <c r="B60" s="1" t="s">
        <v>66</v>
      </c>
      <c r="D60" s="1" t="s">
        <v>87</v>
      </c>
      <c r="E60" s="1" t="s">
        <v>89</v>
      </c>
      <c r="F60" s="1">
        <f>COUNTIFS(CartasAtributos!D$5:D$98,B60,CartasAtributos!F$5:F$98,E60)+COUNTIFS(CartasAtributos!D$5:D$98,E60,CartasAtributos!F$5:F$98,B60)</f>
        <v>0</v>
      </c>
    </row>
    <row r="61" spans="1:6" x14ac:dyDescent="0.25">
      <c r="A61" s="1" t="s">
        <v>69</v>
      </c>
      <c r="B61" s="1" t="s">
        <v>66</v>
      </c>
      <c r="D61" s="1" t="s">
        <v>87</v>
      </c>
      <c r="E61" s="1" t="s">
        <v>90</v>
      </c>
      <c r="F61" s="1">
        <f>COUNTIFS(CartasAtributos!D$5:D$98,B61,CartasAtributos!F$5:F$98,E61)+COUNTIFS(CartasAtributos!D$5:D$98,E61,CartasAtributos!F$5:F$98,B61)</f>
        <v>1</v>
      </c>
    </row>
    <row r="62" spans="1:6" x14ac:dyDescent="0.25">
      <c r="A62" s="1" t="s">
        <v>69</v>
      </c>
      <c r="B62" s="1" t="s">
        <v>66</v>
      </c>
      <c r="D62" s="1" t="s">
        <v>87</v>
      </c>
      <c r="E62" s="1" t="s">
        <v>91</v>
      </c>
      <c r="F62" s="1">
        <f>COUNTIFS(CartasAtributos!D$5:D$98,B62,CartasAtributos!F$5:F$98,E62)+COUNTIFS(CartasAtributos!D$5:D$98,E62,CartasAtributos!F$5:F$98,B62)</f>
        <v>1</v>
      </c>
    </row>
    <row r="63" spans="1:6" hidden="1" x14ac:dyDescent="0.25">
      <c r="A63" s="1" t="s">
        <v>69</v>
      </c>
      <c r="B63" s="1" t="s">
        <v>66</v>
      </c>
      <c r="D63" s="1" t="s">
        <v>87</v>
      </c>
      <c r="E63" s="1" t="s">
        <v>92</v>
      </c>
      <c r="F63" s="1">
        <f>COUNTIFS(CartasAtributos!D$5:D$98,B63,CartasAtributos!F$5:F$98,E63)+COUNTIFS(CartasAtributos!D$5:D$98,E63,CartasAtributos!F$5:F$98,B63)</f>
        <v>0</v>
      </c>
    </row>
    <row r="64" spans="1:6" hidden="1" x14ac:dyDescent="0.25">
      <c r="A64" s="1" t="s">
        <v>69</v>
      </c>
      <c r="B64" s="1" t="s">
        <v>71</v>
      </c>
      <c r="D64" s="1" t="s">
        <v>87</v>
      </c>
      <c r="E64" s="1" t="s">
        <v>88</v>
      </c>
      <c r="F64" s="1">
        <f>COUNTIFS(CartasAtributos!D$5:D$98,B64,CartasAtributos!F$5:F$98,E64)+COUNTIFS(CartasAtributos!D$5:D$98,E64,CartasAtributos!F$5:F$98,B64)</f>
        <v>0</v>
      </c>
    </row>
    <row r="65" spans="1:6" hidden="1" x14ac:dyDescent="0.25">
      <c r="A65" s="1" t="s">
        <v>69</v>
      </c>
      <c r="B65" s="1" t="s">
        <v>71</v>
      </c>
      <c r="D65" s="1" t="s">
        <v>87</v>
      </c>
      <c r="E65" s="1" t="s">
        <v>89</v>
      </c>
      <c r="F65" s="1">
        <f>COUNTIFS(CartasAtributos!D$5:D$98,B65,CartasAtributos!F$5:F$98,E65)+COUNTIFS(CartasAtributos!D$5:D$98,E65,CartasAtributos!F$5:F$98,B65)</f>
        <v>0</v>
      </c>
    </row>
    <row r="66" spans="1:6" hidden="1" x14ac:dyDescent="0.25">
      <c r="A66" s="1" t="s">
        <v>69</v>
      </c>
      <c r="B66" s="1" t="s">
        <v>71</v>
      </c>
      <c r="D66" s="1" t="s">
        <v>87</v>
      </c>
      <c r="E66" s="1" t="s">
        <v>90</v>
      </c>
      <c r="F66" s="1">
        <f>COUNTIFS(CartasAtributos!D$5:D$98,B66,CartasAtributos!F$5:F$98,E66)+COUNTIFS(CartasAtributos!D$5:D$98,E66,CartasAtributos!F$5:F$98,B66)</f>
        <v>0</v>
      </c>
    </row>
    <row r="67" spans="1:6" hidden="1" x14ac:dyDescent="0.25">
      <c r="A67" s="1" t="s">
        <v>69</v>
      </c>
      <c r="B67" s="1" t="s">
        <v>71</v>
      </c>
      <c r="D67" s="1" t="s">
        <v>87</v>
      </c>
      <c r="E67" s="1" t="s">
        <v>91</v>
      </c>
      <c r="F67" s="1">
        <f>COUNTIFS(CartasAtributos!D$5:D$98,B67,CartasAtributos!F$5:F$98,E67)+COUNTIFS(CartasAtributos!D$5:D$98,E67,CartasAtributos!F$5:F$98,B67)</f>
        <v>0</v>
      </c>
    </row>
    <row r="68" spans="1:6" s="2" customFormat="1" ht="15.75" x14ac:dyDescent="0.25">
      <c r="A68" s="1" t="s">
        <v>69</v>
      </c>
      <c r="B68" s="1" t="s">
        <v>71</v>
      </c>
      <c r="D68" s="1" t="s">
        <v>87</v>
      </c>
      <c r="E68" s="1" t="s">
        <v>92</v>
      </c>
      <c r="F68" s="1">
        <f>COUNTIFS(CartasAtributos!D$5:D$98,B68,CartasAtributos!F$5:F$98,E68)+COUNTIFS(CartasAtributos!D$5:D$98,E68,CartasAtributos!F$5:F$98,B68)</f>
        <v>1</v>
      </c>
    </row>
    <row r="69" spans="1:6" hidden="1" x14ac:dyDescent="0.25">
      <c r="A69" s="1" t="s">
        <v>69</v>
      </c>
      <c r="B69" s="1" t="s">
        <v>72</v>
      </c>
      <c r="D69" s="1" t="s">
        <v>87</v>
      </c>
      <c r="E69" s="1" t="s">
        <v>88</v>
      </c>
      <c r="F69" s="1">
        <f>COUNTIFS(CartasAtributos!D$5:D$98,B69,CartasAtributos!F$5:F$98,E69)+COUNTIFS(CartasAtributos!D$5:D$98,E69,CartasAtributos!F$5:F$98,B69)</f>
        <v>0</v>
      </c>
    </row>
    <row r="70" spans="1:6" hidden="1" x14ac:dyDescent="0.25">
      <c r="A70" s="1" t="s">
        <v>69</v>
      </c>
      <c r="B70" s="1" t="s">
        <v>72</v>
      </c>
      <c r="D70" s="1" t="s">
        <v>87</v>
      </c>
      <c r="E70" s="1" t="s">
        <v>89</v>
      </c>
      <c r="F70" s="1">
        <f>COUNTIFS(CartasAtributos!D$5:D$98,B70,CartasAtributos!F$5:F$98,E70)+COUNTIFS(CartasAtributos!D$5:D$98,E70,CartasAtributos!F$5:F$98,B70)</f>
        <v>0</v>
      </c>
    </row>
    <row r="71" spans="1:6" hidden="1" x14ac:dyDescent="0.25">
      <c r="A71" s="1" t="s">
        <v>69</v>
      </c>
      <c r="B71" s="1" t="s">
        <v>72</v>
      </c>
      <c r="D71" s="1" t="s">
        <v>87</v>
      </c>
      <c r="E71" s="1" t="s">
        <v>90</v>
      </c>
      <c r="F71" s="1">
        <f>COUNTIFS(CartasAtributos!D$5:D$98,B71,CartasAtributos!F$5:F$98,E71)+COUNTIFS(CartasAtributos!D$5:D$98,E71,CartasAtributos!F$5:F$98,B71)</f>
        <v>0</v>
      </c>
    </row>
    <row r="72" spans="1:6" hidden="1" x14ac:dyDescent="0.25">
      <c r="A72" s="1" t="s">
        <v>69</v>
      </c>
      <c r="B72" s="1" t="s">
        <v>72</v>
      </c>
      <c r="D72" s="1" t="s">
        <v>87</v>
      </c>
      <c r="E72" s="1" t="s">
        <v>91</v>
      </c>
      <c r="F72" s="1">
        <f>COUNTIFS(CartasAtributos!D$5:D$98,B72,CartasAtributos!F$5:F$98,E72)+COUNTIFS(CartasAtributos!D$5:D$98,E72,CartasAtributos!F$5:F$98,B72)</f>
        <v>0</v>
      </c>
    </row>
    <row r="73" spans="1:6" hidden="1" x14ac:dyDescent="0.25">
      <c r="A73" s="1" t="s">
        <v>69</v>
      </c>
      <c r="B73" s="1" t="s">
        <v>72</v>
      </c>
      <c r="D73" s="1" t="s">
        <v>87</v>
      </c>
      <c r="E73" s="1" t="s">
        <v>92</v>
      </c>
      <c r="F73" s="1">
        <f>COUNTIFS(CartasAtributos!D$5:D$98,B73,CartasAtributos!F$5:F$98,E73)+COUNTIFS(CartasAtributos!D$5:D$98,E73,CartasAtributos!F$5:F$98,B73)</f>
        <v>0</v>
      </c>
    </row>
    <row r="74" spans="1:6" x14ac:dyDescent="0.25">
      <c r="A74" s="1" t="s">
        <v>69</v>
      </c>
      <c r="B74" s="1" t="s">
        <v>73</v>
      </c>
      <c r="D74" s="1" t="s">
        <v>87</v>
      </c>
      <c r="E74" s="1" t="s">
        <v>88</v>
      </c>
      <c r="F74" s="1">
        <f>COUNTIFS(CartasAtributos!D$5:D$98,B74,CartasAtributos!F$5:F$98,E74)+COUNTIFS(CartasAtributos!D$5:D$98,E74,CartasAtributos!F$5:F$98,B74)</f>
        <v>1</v>
      </c>
    </row>
    <row r="75" spans="1:6" x14ac:dyDescent="0.25">
      <c r="A75" s="1" t="s">
        <v>69</v>
      </c>
      <c r="B75" s="1" t="s">
        <v>73</v>
      </c>
      <c r="D75" s="1" t="s">
        <v>87</v>
      </c>
      <c r="E75" s="1" t="s">
        <v>89</v>
      </c>
      <c r="F75" s="1">
        <f>COUNTIFS(CartasAtributos!D$5:D$98,B75,CartasAtributos!F$5:F$98,E75)+COUNTIFS(CartasAtributos!D$5:D$98,E75,CartasAtributos!F$5:F$98,B75)</f>
        <v>1</v>
      </c>
    </row>
    <row r="76" spans="1:6" x14ac:dyDescent="0.25">
      <c r="A76" s="1" t="s">
        <v>69</v>
      </c>
      <c r="B76" s="1" t="s">
        <v>73</v>
      </c>
      <c r="D76" s="1" t="s">
        <v>87</v>
      </c>
      <c r="E76" s="1" t="s">
        <v>90</v>
      </c>
      <c r="F76" s="1">
        <f>COUNTIFS(CartasAtributos!D$5:D$98,B76,CartasAtributos!F$5:F$98,E76)+COUNTIFS(CartasAtributos!D$5:D$98,E76,CartasAtributos!F$5:F$98,B76)</f>
        <v>1</v>
      </c>
    </row>
    <row r="77" spans="1:6" hidden="1" x14ac:dyDescent="0.25">
      <c r="A77" s="1" t="s">
        <v>69</v>
      </c>
      <c r="B77" s="1" t="s">
        <v>73</v>
      </c>
      <c r="D77" s="1" t="s">
        <v>87</v>
      </c>
      <c r="E77" s="1" t="s">
        <v>91</v>
      </c>
      <c r="F77" s="1">
        <f>COUNTIFS(CartasAtributos!D$5:D$98,B77,CartasAtributos!F$5:F$98,E77)+COUNTIFS(CartasAtributos!D$5:D$98,E77,CartasAtributos!F$5:F$98,B77)</f>
        <v>0</v>
      </c>
    </row>
    <row r="78" spans="1:6" x14ac:dyDescent="0.25">
      <c r="A78" s="1" t="s">
        <v>69</v>
      </c>
      <c r="B78" s="1" t="s">
        <v>73</v>
      </c>
      <c r="D78" s="1" t="s">
        <v>87</v>
      </c>
      <c r="E78" s="1" t="s">
        <v>92</v>
      </c>
      <c r="F78" s="1">
        <f>COUNTIFS(CartasAtributos!D$5:D$98,B78,CartasAtributos!F$5:F$98,E78)+COUNTIFS(CartasAtributos!D$5:D$98,E78,CartasAtributos!F$5:F$98,B78)</f>
        <v>3</v>
      </c>
    </row>
    <row r="79" spans="1:6" x14ac:dyDescent="0.25">
      <c r="A79" s="1" t="s">
        <v>69</v>
      </c>
      <c r="B79" s="1" t="s">
        <v>70</v>
      </c>
      <c r="D79" s="1" t="s">
        <v>93</v>
      </c>
      <c r="E79" s="1" t="s">
        <v>94</v>
      </c>
      <c r="F79" s="1">
        <f>COUNTIFS(CartasAtributos!D$5:D$98,B79,CartasAtributos!F$5:F$98,E79)+COUNTIFS(CartasAtributos!D$5:D$98,E79,CartasAtributos!F$5:F$98,B79)</f>
        <v>1</v>
      </c>
    </row>
    <row r="80" spans="1:6" hidden="1" x14ac:dyDescent="0.25">
      <c r="A80" s="1" t="s">
        <v>69</v>
      </c>
      <c r="B80" s="1" t="s">
        <v>70</v>
      </c>
      <c r="D80" s="1" t="s">
        <v>93</v>
      </c>
      <c r="E80" s="1" t="s">
        <v>95</v>
      </c>
      <c r="F80" s="1">
        <f>COUNTIFS(CartasAtributos!D$5:D$98,B80,CartasAtributos!F$5:F$98,E80)+COUNTIFS(CartasAtributos!D$5:D$98,E80,CartasAtributos!F$5:F$98,B80)</f>
        <v>0</v>
      </c>
    </row>
    <row r="81" spans="1:6" x14ac:dyDescent="0.25">
      <c r="A81" s="1" t="s">
        <v>69</v>
      </c>
      <c r="B81" s="1" t="s">
        <v>70</v>
      </c>
      <c r="D81" s="1" t="s">
        <v>93</v>
      </c>
      <c r="E81" s="1" t="s">
        <v>96</v>
      </c>
      <c r="F81" s="1">
        <f>COUNTIFS(CartasAtributos!D$5:D$98,B81,CartasAtributos!F$5:F$98,E81)+COUNTIFS(CartasAtributos!D$5:D$98,E81,CartasAtributos!F$5:F$98,B81)</f>
        <v>1</v>
      </c>
    </row>
    <row r="82" spans="1:6" hidden="1" x14ac:dyDescent="0.25">
      <c r="A82" s="1" t="s">
        <v>69</v>
      </c>
      <c r="B82" s="1" t="s">
        <v>70</v>
      </c>
      <c r="D82" s="1" t="s">
        <v>93</v>
      </c>
      <c r="E82" s="1" t="s">
        <v>97</v>
      </c>
      <c r="F82" s="1">
        <f>COUNTIFS(CartasAtributos!D$5:D$98,B82,CartasAtributos!F$5:F$98,E82)+COUNTIFS(CartasAtributos!D$5:D$98,E82,CartasAtributos!F$5:F$98,B82)</f>
        <v>0</v>
      </c>
    </row>
    <row r="83" spans="1:6" x14ac:dyDescent="0.25">
      <c r="A83" s="1" t="s">
        <v>69</v>
      </c>
      <c r="B83" s="1" t="s">
        <v>70</v>
      </c>
      <c r="D83" s="1" t="s">
        <v>93</v>
      </c>
      <c r="E83" s="1" t="s">
        <v>98</v>
      </c>
      <c r="F83" s="1">
        <f>COUNTIFS(CartasAtributos!D$5:D$98,B83,CartasAtributos!F$5:F$98,E83)+COUNTIFS(CartasAtributos!D$5:D$98,E83,CartasAtributos!F$5:F$98,B83)</f>
        <v>1</v>
      </c>
    </row>
    <row r="84" spans="1:6" hidden="1" x14ac:dyDescent="0.25">
      <c r="A84" s="1" t="s">
        <v>69</v>
      </c>
      <c r="B84" s="1" t="s">
        <v>66</v>
      </c>
      <c r="D84" s="1" t="s">
        <v>93</v>
      </c>
      <c r="E84" s="1" t="s">
        <v>94</v>
      </c>
      <c r="F84" s="1">
        <f>COUNTIFS(CartasAtributos!D$5:D$98,B84,CartasAtributos!F$5:F$98,E84)+COUNTIFS(CartasAtributos!D$5:D$98,E84,CartasAtributos!F$5:F$98,B84)</f>
        <v>0</v>
      </c>
    </row>
    <row r="85" spans="1:6" x14ac:dyDescent="0.25">
      <c r="A85" s="1" t="s">
        <v>69</v>
      </c>
      <c r="B85" s="1" t="s">
        <v>66</v>
      </c>
      <c r="D85" s="1" t="s">
        <v>93</v>
      </c>
      <c r="E85" s="1" t="s">
        <v>95</v>
      </c>
      <c r="F85" s="1">
        <f>COUNTIFS(CartasAtributos!D$5:D$98,B85,CartasAtributos!F$5:F$98,E85)+COUNTIFS(CartasAtributos!D$5:D$98,E85,CartasAtributos!F$5:F$98,B85)</f>
        <v>1</v>
      </c>
    </row>
    <row r="86" spans="1:6" hidden="1" x14ac:dyDescent="0.25">
      <c r="A86" s="1" t="s">
        <v>69</v>
      </c>
      <c r="B86" s="1" t="s">
        <v>66</v>
      </c>
      <c r="D86" s="1" t="s">
        <v>93</v>
      </c>
      <c r="E86" s="1" t="s">
        <v>96</v>
      </c>
      <c r="F86" s="1">
        <f>COUNTIFS(CartasAtributos!D$5:D$98,B86,CartasAtributos!F$5:F$98,E86)+COUNTIFS(CartasAtributos!D$5:D$98,E86,CartasAtributos!F$5:F$98,B86)</f>
        <v>0</v>
      </c>
    </row>
    <row r="87" spans="1:6" hidden="1" x14ac:dyDescent="0.25">
      <c r="A87" s="1" t="s">
        <v>69</v>
      </c>
      <c r="B87" s="1" t="s">
        <v>66</v>
      </c>
      <c r="D87" s="1" t="s">
        <v>93</v>
      </c>
      <c r="E87" s="1" t="s">
        <v>97</v>
      </c>
      <c r="F87" s="1">
        <f>COUNTIFS(CartasAtributos!D$5:D$98,B87,CartasAtributos!F$5:F$98,E87)+COUNTIFS(CartasAtributos!D$5:D$98,E87,CartasAtributos!F$5:F$98,B87)</f>
        <v>0</v>
      </c>
    </row>
    <row r="88" spans="1:6" hidden="1" x14ac:dyDescent="0.25">
      <c r="A88" s="1" t="s">
        <v>69</v>
      </c>
      <c r="B88" s="1" t="s">
        <v>66</v>
      </c>
      <c r="D88" s="1" t="s">
        <v>93</v>
      </c>
      <c r="E88" s="1" t="s">
        <v>98</v>
      </c>
      <c r="F88" s="1">
        <f>COUNTIFS(CartasAtributos!D$5:D$98,B88,CartasAtributos!F$5:F$98,E88)+COUNTIFS(CartasAtributos!D$5:D$98,E88,CartasAtributos!F$5:F$98,B88)</f>
        <v>0</v>
      </c>
    </row>
    <row r="89" spans="1:6" hidden="1" x14ac:dyDescent="0.25">
      <c r="A89" s="1" t="s">
        <v>69</v>
      </c>
      <c r="B89" s="1" t="s">
        <v>71</v>
      </c>
      <c r="D89" s="1" t="s">
        <v>93</v>
      </c>
      <c r="E89" s="1" t="s">
        <v>94</v>
      </c>
      <c r="F89" s="1">
        <f>COUNTIFS(CartasAtributos!D$5:D$98,B89,CartasAtributos!F$5:F$98,E89)+COUNTIFS(CartasAtributos!D$5:D$98,E89,CartasAtributos!F$5:F$98,B89)</f>
        <v>0</v>
      </c>
    </row>
    <row r="90" spans="1:6" hidden="1" x14ac:dyDescent="0.25">
      <c r="A90" s="1" t="s">
        <v>69</v>
      </c>
      <c r="B90" s="1" t="s">
        <v>71</v>
      </c>
      <c r="D90" s="1" t="s">
        <v>93</v>
      </c>
      <c r="E90" s="1" t="s">
        <v>95</v>
      </c>
      <c r="F90" s="1">
        <f>COUNTIFS(CartasAtributos!D$5:D$98,B90,CartasAtributos!F$5:F$98,E90)+COUNTIFS(CartasAtributos!D$5:D$98,E90,CartasAtributos!F$5:F$98,B90)</f>
        <v>0</v>
      </c>
    </row>
    <row r="91" spans="1:6" hidden="1" x14ac:dyDescent="0.25">
      <c r="A91" s="1" t="s">
        <v>69</v>
      </c>
      <c r="B91" s="1" t="s">
        <v>71</v>
      </c>
      <c r="D91" s="1" t="s">
        <v>93</v>
      </c>
      <c r="E91" s="1" t="s">
        <v>96</v>
      </c>
      <c r="F91" s="1">
        <f>COUNTIFS(CartasAtributos!D$5:D$98,B91,CartasAtributos!F$5:F$98,E91)+COUNTIFS(CartasAtributos!D$5:D$98,E91,CartasAtributos!F$5:F$98,B91)</f>
        <v>0</v>
      </c>
    </row>
    <row r="92" spans="1:6" hidden="1" x14ac:dyDescent="0.25">
      <c r="A92" s="1" t="s">
        <v>69</v>
      </c>
      <c r="B92" s="1" t="s">
        <v>71</v>
      </c>
      <c r="D92" s="1" t="s">
        <v>93</v>
      </c>
      <c r="E92" s="1" t="s">
        <v>97</v>
      </c>
      <c r="F92" s="1">
        <f>COUNTIFS(CartasAtributos!D$5:D$98,B92,CartasAtributos!F$5:F$98,E92)+COUNTIFS(CartasAtributos!D$5:D$98,E92,CartasAtributos!F$5:F$98,B92)</f>
        <v>0</v>
      </c>
    </row>
    <row r="93" spans="1:6" hidden="1" x14ac:dyDescent="0.25">
      <c r="A93" s="1" t="s">
        <v>69</v>
      </c>
      <c r="B93" s="1" t="s">
        <v>71</v>
      </c>
      <c r="D93" s="1" t="s">
        <v>93</v>
      </c>
      <c r="E93" s="1" t="s">
        <v>98</v>
      </c>
      <c r="F93" s="1">
        <f>COUNTIFS(CartasAtributos!D$5:D$98,B93,CartasAtributos!F$5:F$98,E93)+COUNTIFS(CartasAtributos!D$5:D$98,E93,CartasAtributos!F$5:F$98,B93)</f>
        <v>0</v>
      </c>
    </row>
    <row r="94" spans="1:6" x14ac:dyDescent="0.25">
      <c r="A94" s="1" t="s">
        <v>69</v>
      </c>
      <c r="B94" s="1" t="s">
        <v>72</v>
      </c>
      <c r="D94" s="1" t="s">
        <v>93</v>
      </c>
      <c r="E94" s="1" t="s">
        <v>94</v>
      </c>
      <c r="F94" s="1">
        <f>COUNTIFS(CartasAtributos!D$5:D$98,B94,CartasAtributos!F$5:F$98,E94)+COUNTIFS(CartasAtributos!D$5:D$98,E94,CartasAtributos!F$5:F$98,B94)</f>
        <v>1</v>
      </c>
    </row>
    <row r="95" spans="1:6" hidden="1" x14ac:dyDescent="0.25">
      <c r="A95" s="1" t="s">
        <v>69</v>
      </c>
      <c r="B95" s="1" t="s">
        <v>72</v>
      </c>
      <c r="D95" s="1" t="s">
        <v>93</v>
      </c>
      <c r="E95" s="1" t="s">
        <v>95</v>
      </c>
      <c r="F95" s="1">
        <f>COUNTIFS(CartasAtributos!D$5:D$98,B95,CartasAtributos!F$5:F$98,E95)+COUNTIFS(CartasAtributos!D$5:D$98,E95,CartasAtributos!F$5:F$98,B95)</f>
        <v>0</v>
      </c>
    </row>
    <row r="96" spans="1:6" hidden="1" x14ac:dyDescent="0.25">
      <c r="A96" s="1" t="s">
        <v>69</v>
      </c>
      <c r="B96" s="1" t="s">
        <v>72</v>
      </c>
      <c r="D96" s="1" t="s">
        <v>93</v>
      </c>
      <c r="E96" s="1" t="s">
        <v>96</v>
      </c>
      <c r="F96" s="1">
        <f>COUNTIFS(CartasAtributos!D$5:D$98,B96,CartasAtributos!F$5:F$98,E96)+COUNTIFS(CartasAtributos!D$5:D$98,E96,CartasAtributos!F$5:F$98,B96)</f>
        <v>0</v>
      </c>
    </row>
    <row r="97" spans="1:6" hidden="1" x14ac:dyDescent="0.25">
      <c r="A97" s="1" t="s">
        <v>69</v>
      </c>
      <c r="B97" s="1" t="s">
        <v>72</v>
      </c>
      <c r="D97" s="1" t="s">
        <v>93</v>
      </c>
      <c r="E97" s="1" t="s">
        <v>97</v>
      </c>
      <c r="F97" s="1">
        <f>COUNTIFS(CartasAtributos!D$5:D$98,B97,CartasAtributos!F$5:F$98,E97)+COUNTIFS(CartasAtributos!D$5:D$98,E97,CartasAtributos!F$5:F$98,B97)</f>
        <v>0</v>
      </c>
    </row>
    <row r="98" spans="1:6" hidden="1" x14ac:dyDescent="0.25">
      <c r="A98" s="1" t="s">
        <v>69</v>
      </c>
      <c r="B98" s="1" t="s">
        <v>72</v>
      </c>
      <c r="D98" s="1" t="s">
        <v>93</v>
      </c>
      <c r="E98" s="1" t="s">
        <v>98</v>
      </c>
      <c r="F98" s="1">
        <f>COUNTIFS(CartasAtributos!D$5:D$98,B98,CartasAtributos!F$5:F$98,E98)+COUNTIFS(CartasAtributos!D$5:D$98,E98,CartasAtributos!F$5:F$98,B98)</f>
        <v>0</v>
      </c>
    </row>
    <row r="99" spans="1:6" x14ac:dyDescent="0.25">
      <c r="A99" s="1" t="s">
        <v>69</v>
      </c>
      <c r="B99" s="1" t="s">
        <v>73</v>
      </c>
      <c r="D99" s="1" t="s">
        <v>93</v>
      </c>
      <c r="E99" s="1" t="s">
        <v>94</v>
      </c>
      <c r="F99" s="1">
        <f>COUNTIFS(CartasAtributos!D$5:D$98,B99,CartasAtributos!F$5:F$98,E99)+COUNTIFS(CartasAtributos!D$5:D$98,E99,CartasAtributos!F$5:F$98,B99)</f>
        <v>1</v>
      </c>
    </row>
    <row r="100" spans="1:6" hidden="1" x14ac:dyDescent="0.25">
      <c r="A100" s="1" t="s">
        <v>69</v>
      </c>
      <c r="B100" s="1" t="s">
        <v>73</v>
      </c>
      <c r="D100" s="1" t="s">
        <v>93</v>
      </c>
      <c r="E100" s="1" t="s">
        <v>95</v>
      </c>
      <c r="F100" s="1">
        <f>COUNTIFS(CartasAtributos!D$5:D$98,B100,CartasAtributos!F$5:F$98,E100)+COUNTIFS(CartasAtributos!D$5:D$98,E100,CartasAtributos!F$5:F$98,B100)</f>
        <v>0</v>
      </c>
    </row>
    <row r="101" spans="1:6" hidden="1" x14ac:dyDescent="0.25">
      <c r="A101" s="1" t="s">
        <v>69</v>
      </c>
      <c r="B101" s="1" t="s">
        <v>73</v>
      </c>
      <c r="D101" s="1" t="s">
        <v>93</v>
      </c>
      <c r="E101" s="1" t="s">
        <v>96</v>
      </c>
      <c r="F101" s="1">
        <f>COUNTIFS(CartasAtributos!D$5:D$98,B101,CartasAtributos!F$5:F$98,E101)+COUNTIFS(CartasAtributos!D$5:D$98,E101,CartasAtributos!F$5:F$98,B101)</f>
        <v>0</v>
      </c>
    </row>
    <row r="102" spans="1:6" hidden="1" x14ac:dyDescent="0.25">
      <c r="A102" s="1" t="s">
        <v>69</v>
      </c>
      <c r="B102" s="1" t="s">
        <v>73</v>
      </c>
      <c r="D102" s="1" t="s">
        <v>93</v>
      </c>
      <c r="E102" s="1" t="s">
        <v>97</v>
      </c>
      <c r="F102" s="1">
        <f>COUNTIFS(CartasAtributos!D$5:D$98,B102,CartasAtributos!F$5:F$98,E102)+COUNTIFS(CartasAtributos!D$5:D$98,E102,CartasAtributos!F$5:F$98,B102)</f>
        <v>0</v>
      </c>
    </row>
    <row r="103" spans="1:6" hidden="1" x14ac:dyDescent="0.25">
      <c r="A103" s="1" t="s">
        <v>69</v>
      </c>
      <c r="B103" s="1" t="s">
        <v>73</v>
      </c>
      <c r="D103" s="1" t="s">
        <v>93</v>
      </c>
      <c r="E103" s="1" t="s">
        <v>98</v>
      </c>
      <c r="F103" s="1">
        <f>COUNTIFS(CartasAtributos!D$5:D$98,B103,CartasAtributos!F$5:F$98,E103)+COUNTIFS(CartasAtributos!D$5:D$98,E103,CartasAtributos!F$5:F$98,B103)</f>
        <v>0</v>
      </c>
    </row>
    <row r="104" spans="1:6" x14ac:dyDescent="0.25">
      <c r="A104" s="1" t="s">
        <v>76</v>
      </c>
      <c r="B104" s="1" t="s">
        <v>77</v>
      </c>
      <c r="D104" s="1" t="s">
        <v>81</v>
      </c>
      <c r="E104" s="1" t="s">
        <v>82</v>
      </c>
      <c r="F104" s="1">
        <f>COUNTIFS(CartasAtributos!D$5:D$98,B104,CartasAtributos!F$5:F$98,E104)+COUNTIFS(CartasAtributos!D$5:D$98,E104,CartasAtributos!F$5:F$98,B104)</f>
        <v>1</v>
      </c>
    </row>
    <row r="105" spans="1:6" hidden="1" x14ac:dyDescent="0.25">
      <c r="A105" s="1" t="s">
        <v>76</v>
      </c>
      <c r="B105" s="1" t="s">
        <v>77</v>
      </c>
      <c r="D105" s="1" t="s">
        <v>81</v>
      </c>
      <c r="E105" s="1" t="s">
        <v>83</v>
      </c>
      <c r="F105" s="1">
        <f>COUNTIFS(CartasAtributos!D$5:D$98,B105,CartasAtributos!F$5:F$98,E105)+COUNTIFS(CartasAtributos!D$5:D$98,E105,CartasAtributos!F$5:F$98,B105)</f>
        <v>0</v>
      </c>
    </row>
    <row r="106" spans="1:6" x14ac:dyDescent="0.25">
      <c r="A106" s="1" t="s">
        <v>76</v>
      </c>
      <c r="B106" s="1" t="s">
        <v>77</v>
      </c>
      <c r="D106" s="1" t="s">
        <v>81</v>
      </c>
      <c r="E106" s="1" t="s">
        <v>84</v>
      </c>
      <c r="F106" s="1">
        <f>COUNTIFS(CartasAtributos!D$5:D$98,B106,CartasAtributos!F$5:F$98,E106)+COUNTIFS(CartasAtributos!D$5:D$98,E106,CartasAtributos!F$5:F$98,B106)</f>
        <v>1</v>
      </c>
    </row>
    <row r="107" spans="1:6" hidden="1" x14ac:dyDescent="0.25">
      <c r="A107" s="1" t="s">
        <v>76</v>
      </c>
      <c r="B107" s="1" t="s">
        <v>77</v>
      </c>
      <c r="D107" s="1" t="s">
        <v>81</v>
      </c>
      <c r="E107" s="1" t="s">
        <v>85</v>
      </c>
      <c r="F107" s="1">
        <f>COUNTIFS(CartasAtributos!D$5:D$98,B107,CartasAtributos!F$5:F$98,E107)+COUNTIFS(CartasAtributos!D$5:D$98,E107,CartasAtributos!F$5:F$98,B107)</f>
        <v>0</v>
      </c>
    </row>
    <row r="108" spans="1:6" hidden="1" x14ac:dyDescent="0.25">
      <c r="A108" s="1" t="s">
        <v>76</v>
      </c>
      <c r="B108" s="1" t="s">
        <v>77</v>
      </c>
      <c r="D108" s="1" t="s">
        <v>81</v>
      </c>
      <c r="E108" s="1" t="s">
        <v>86</v>
      </c>
      <c r="F108" s="1">
        <f>COUNTIFS(CartasAtributos!D$5:D$98,B108,CartasAtributos!F$5:F$98,E108)+COUNTIFS(CartasAtributos!D$5:D$98,E108,CartasAtributos!F$5:F$98,B108)</f>
        <v>0</v>
      </c>
    </row>
    <row r="109" spans="1:6" hidden="1" x14ac:dyDescent="0.25">
      <c r="A109" s="1" t="s">
        <v>76</v>
      </c>
      <c r="B109" s="1" t="s">
        <v>78</v>
      </c>
      <c r="D109" s="1" t="s">
        <v>81</v>
      </c>
      <c r="E109" s="1" t="s">
        <v>82</v>
      </c>
      <c r="F109" s="1">
        <f>COUNTIFS(CartasAtributos!D$5:D$98,B109,CartasAtributos!F$5:F$98,E109)+COUNTIFS(CartasAtributos!D$5:D$98,E109,CartasAtributos!F$5:F$98,B109)</f>
        <v>0</v>
      </c>
    </row>
    <row r="110" spans="1:6" hidden="1" x14ac:dyDescent="0.25">
      <c r="A110" s="1" t="s">
        <v>76</v>
      </c>
      <c r="B110" s="1" t="s">
        <v>78</v>
      </c>
      <c r="D110" s="1" t="s">
        <v>81</v>
      </c>
      <c r="E110" s="1" t="s">
        <v>83</v>
      </c>
      <c r="F110" s="1">
        <f>COUNTIFS(CartasAtributos!D$5:D$98,B110,CartasAtributos!F$5:F$98,E110)+COUNTIFS(CartasAtributos!D$5:D$98,E110,CartasAtributos!F$5:F$98,B110)</f>
        <v>0</v>
      </c>
    </row>
    <row r="111" spans="1:6" hidden="1" x14ac:dyDescent="0.25">
      <c r="A111" s="1" t="s">
        <v>76</v>
      </c>
      <c r="B111" s="1" t="s">
        <v>78</v>
      </c>
      <c r="D111" s="1" t="s">
        <v>81</v>
      </c>
      <c r="E111" s="1" t="s">
        <v>84</v>
      </c>
      <c r="F111" s="1">
        <f>COUNTIFS(CartasAtributos!D$5:D$98,B111,CartasAtributos!F$5:F$98,E111)+COUNTIFS(CartasAtributos!D$5:D$98,E111,CartasAtributos!F$5:F$98,B111)</f>
        <v>0</v>
      </c>
    </row>
    <row r="112" spans="1:6" hidden="1" x14ac:dyDescent="0.25">
      <c r="A112" s="1" t="s">
        <v>76</v>
      </c>
      <c r="B112" s="1" t="s">
        <v>78</v>
      </c>
      <c r="D112" s="1" t="s">
        <v>81</v>
      </c>
      <c r="E112" s="1" t="s">
        <v>85</v>
      </c>
      <c r="F112" s="1">
        <f>COUNTIFS(CartasAtributos!D$5:D$98,B112,CartasAtributos!F$5:F$98,E112)+COUNTIFS(CartasAtributos!D$5:D$98,E112,CartasAtributos!F$5:F$98,B112)</f>
        <v>0</v>
      </c>
    </row>
    <row r="113" spans="1:6" hidden="1" x14ac:dyDescent="0.25">
      <c r="A113" s="1" t="s">
        <v>76</v>
      </c>
      <c r="B113" s="1" t="s">
        <v>78</v>
      </c>
      <c r="D113" s="1" t="s">
        <v>81</v>
      </c>
      <c r="E113" s="1" t="s">
        <v>86</v>
      </c>
      <c r="F113" s="1">
        <f>COUNTIFS(CartasAtributos!D$5:D$98,B113,CartasAtributos!F$5:F$98,E113)+COUNTIFS(CartasAtributos!D$5:D$98,E113,CartasAtributos!F$5:F$98,B113)</f>
        <v>0</v>
      </c>
    </row>
    <row r="114" spans="1:6" hidden="1" x14ac:dyDescent="0.25">
      <c r="A114" s="1" t="s">
        <v>76</v>
      </c>
      <c r="B114" s="1" t="s">
        <v>67</v>
      </c>
      <c r="D114" s="1" t="s">
        <v>81</v>
      </c>
      <c r="E114" s="1" t="s">
        <v>82</v>
      </c>
      <c r="F114" s="1">
        <f>COUNTIFS(CartasAtributos!D$5:D$98,B114,CartasAtributos!F$5:F$98,E114)+COUNTIFS(CartasAtributos!D$5:D$98,E114,CartasAtributos!F$5:F$98,B114)</f>
        <v>0</v>
      </c>
    </row>
    <row r="115" spans="1:6" x14ac:dyDescent="0.25">
      <c r="A115" s="1" t="s">
        <v>76</v>
      </c>
      <c r="B115" s="1" t="s">
        <v>67</v>
      </c>
      <c r="D115" s="1" t="s">
        <v>81</v>
      </c>
      <c r="E115" s="1" t="s">
        <v>83</v>
      </c>
      <c r="F115" s="1">
        <f>COUNTIFS(CartasAtributos!D$5:D$98,B115,CartasAtributos!F$5:F$98,E115)+COUNTIFS(CartasAtributos!D$5:D$98,E115,CartasAtributos!F$5:F$98,B115)</f>
        <v>1</v>
      </c>
    </row>
    <row r="116" spans="1:6" x14ac:dyDescent="0.25">
      <c r="A116" s="1" t="s">
        <v>76</v>
      </c>
      <c r="B116" s="1" t="s">
        <v>67</v>
      </c>
      <c r="D116" s="1" t="s">
        <v>81</v>
      </c>
      <c r="E116" s="1" t="s">
        <v>84</v>
      </c>
      <c r="F116" s="1">
        <f>COUNTIFS(CartasAtributos!D$5:D$98,B116,CartasAtributos!F$5:F$98,E116)+COUNTIFS(CartasAtributos!D$5:D$98,E116,CartasAtributos!F$5:F$98,B116)</f>
        <v>2</v>
      </c>
    </row>
    <row r="117" spans="1:6" x14ac:dyDescent="0.25">
      <c r="A117" s="1" t="s">
        <v>76</v>
      </c>
      <c r="B117" s="1" t="s">
        <v>67</v>
      </c>
      <c r="D117" s="1" t="s">
        <v>81</v>
      </c>
      <c r="E117" s="1" t="s">
        <v>85</v>
      </c>
      <c r="F117" s="1">
        <f>COUNTIFS(CartasAtributos!D$5:D$98,B117,CartasAtributos!F$5:F$98,E117)+COUNTIFS(CartasAtributos!D$5:D$98,E117,CartasAtributos!F$5:F$98,B117)</f>
        <v>1</v>
      </c>
    </row>
    <row r="118" spans="1:6" hidden="1" x14ac:dyDescent="0.25">
      <c r="A118" s="1" t="s">
        <v>76</v>
      </c>
      <c r="B118" s="1" t="s">
        <v>67</v>
      </c>
      <c r="D118" s="1" t="s">
        <v>81</v>
      </c>
      <c r="E118" s="1" t="s">
        <v>86</v>
      </c>
      <c r="F118" s="1">
        <f>COUNTIFS(CartasAtributos!D$5:D$98,B118,CartasAtributos!F$5:F$98,E118)+COUNTIFS(CartasAtributos!D$5:D$98,E118,CartasAtributos!F$5:F$98,B118)</f>
        <v>0</v>
      </c>
    </row>
    <row r="119" spans="1:6" hidden="1" x14ac:dyDescent="0.25">
      <c r="A119" s="1" t="s">
        <v>76</v>
      </c>
      <c r="B119" s="1" t="s">
        <v>79</v>
      </c>
      <c r="D119" s="1" t="s">
        <v>81</v>
      </c>
      <c r="E119" s="1" t="s">
        <v>82</v>
      </c>
      <c r="F119" s="1">
        <f>COUNTIFS(CartasAtributos!D$5:D$98,B119,CartasAtributos!F$5:F$98,E119)+COUNTIFS(CartasAtributos!D$5:D$98,E119,CartasAtributos!F$5:F$98,B119)</f>
        <v>0</v>
      </c>
    </row>
    <row r="120" spans="1:6" hidden="1" x14ac:dyDescent="0.25">
      <c r="A120" s="1" t="s">
        <v>76</v>
      </c>
      <c r="B120" s="1" t="s">
        <v>79</v>
      </c>
      <c r="D120" s="1" t="s">
        <v>81</v>
      </c>
      <c r="E120" s="1" t="s">
        <v>83</v>
      </c>
      <c r="F120" s="1">
        <f>COUNTIFS(CartasAtributos!D$5:D$98,B120,CartasAtributos!F$5:F$98,E120)+COUNTIFS(CartasAtributos!D$5:D$98,E120,CartasAtributos!F$5:F$98,B120)</f>
        <v>0</v>
      </c>
    </row>
    <row r="121" spans="1:6" hidden="1" x14ac:dyDescent="0.25">
      <c r="A121" s="1" t="s">
        <v>76</v>
      </c>
      <c r="B121" s="1" t="s">
        <v>79</v>
      </c>
      <c r="D121" s="1" t="s">
        <v>81</v>
      </c>
      <c r="E121" s="1" t="s">
        <v>84</v>
      </c>
      <c r="F121" s="1">
        <f>COUNTIFS(CartasAtributos!D$5:D$98,B121,CartasAtributos!F$5:F$98,E121)+COUNTIFS(CartasAtributos!D$5:D$98,E121,CartasAtributos!F$5:F$98,B121)</f>
        <v>0</v>
      </c>
    </row>
    <row r="122" spans="1:6" hidden="1" x14ac:dyDescent="0.25">
      <c r="A122" s="1" t="s">
        <v>76</v>
      </c>
      <c r="B122" s="1" t="s">
        <v>79</v>
      </c>
      <c r="D122" s="1" t="s">
        <v>81</v>
      </c>
      <c r="E122" s="1" t="s">
        <v>85</v>
      </c>
      <c r="F122" s="1">
        <f>COUNTIFS(CartasAtributos!D$5:D$98,B122,CartasAtributos!F$5:F$98,E122)+COUNTIFS(CartasAtributos!D$5:D$98,E122,CartasAtributos!F$5:F$98,B122)</f>
        <v>0</v>
      </c>
    </row>
    <row r="123" spans="1:6" hidden="1" x14ac:dyDescent="0.25">
      <c r="A123" s="1" t="s">
        <v>76</v>
      </c>
      <c r="B123" s="1" t="s">
        <v>79</v>
      </c>
      <c r="D123" s="1" t="s">
        <v>81</v>
      </c>
      <c r="E123" s="1" t="s">
        <v>86</v>
      </c>
      <c r="F123" s="1">
        <f>COUNTIFS(CartasAtributos!D$5:D$98,B123,CartasAtributos!F$5:F$98,E123)+COUNTIFS(CartasAtributos!D$5:D$98,E123,CartasAtributos!F$5:F$98,B123)</f>
        <v>0</v>
      </c>
    </row>
    <row r="124" spans="1:6" hidden="1" x14ac:dyDescent="0.25">
      <c r="A124" s="1" t="s">
        <v>76</v>
      </c>
      <c r="B124" s="1" t="s">
        <v>80</v>
      </c>
      <c r="D124" s="1" t="s">
        <v>81</v>
      </c>
      <c r="E124" s="1" t="s">
        <v>82</v>
      </c>
      <c r="F124" s="1">
        <f>COUNTIFS(CartasAtributos!D$5:D$98,B124,CartasAtributos!F$5:F$98,E124)+COUNTIFS(CartasAtributos!D$5:D$98,E124,CartasAtributos!F$5:F$98,B124)</f>
        <v>0</v>
      </c>
    </row>
    <row r="125" spans="1:6" hidden="1" x14ac:dyDescent="0.25">
      <c r="A125" s="1" t="s">
        <v>76</v>
      </c>
      <c r="B125" s="1" t="s">
        <v>80</v>
      </c>
      <c r="D125" s="1" t="s">
        <v>81</v>
      </c>
      <c r="E125" s="1" t="s">
        <v>83</v>
      </c>
      <c r="F125" s="1">
        <f>COUNTIFS(CartasAtributos!D$5:D$98,B125,CartasAtributos!F$5:F$98,E125)+COUNTIFS(CartasAtributos!D$5:D$98,E125,CartasAtributos!F$5:F$98,B125)</f>
        <v>0</v>
      </c>
    </row>
    <row r="126" spans="1:6" hidden="1" x14ac:dyDescent="0.25">
      <c r="A126" s="1" t="s">
        <v>76</v>
      </c>
      <c r="B126" s="1" t="s">
        <v>80</v>
      </c>
      <c r="D126" s="1" t="s">
        <v>81</v>
      </c>
      <c r="E126" s="1" t="s">
        <v>84</v>
      </c>
      <c r="F126" s="1">
        <f>COUNTIFS(CartasAtributos!D$5:D$98,B126,CartasAtributos!F$5:F$98,E126)+COUNTIFS(CartasAtributos!D$5:D$98,E126,CartasAtributos!F$5:F$98,B126)</f>
        <v>0</v>
      </c>
    </row>
    <row r="127" spans="1:6" x14ac:dyDescent="0.25">
      <c r="A127" s="1" t="s">
        <v>76</v>
      </c>
      <c r="B127" s="1" t="s">
        <v>80</v>
      </c>
      <c r="D127" s="1" t="s">
        <v>81</v>
      </c>
      <c r="E127" s="1" t="s">
        <v>85</v>
      </c>
      <c r="F127" s="1">
        <f>COUNTIFS(CartasAtributos!D$5:D$98,B127,CartasAtributos!F$5:F$98,E127)+COUNTIFS(CartasAtributos!D$5:D$98,E127,CartasAtributos!F$5:F$98,B127)</f>
        <v>1</v>
      </c>
    </row>
    <row r="128" spans="1:6" hidden="1" x14ac:dyDescent="0.25">
      <c r="A128" s="1" t="s">
        <v>76</v>
      </c>
      <c r="B128" s="1" t="s">
        <v>80</v>
      </c>
      <c r="D128" s="1" t="s">
        <v>81</v>
      </c>
      <c r="E128" s="1" t="s">
        <v>86</v>
      </c>
      <c r="F128" s="1">
        <f>COUNTIFS(CartasAtributos!D$5:D$98,B128,CartasAtributos!F$5:F$98,E128)+COUNTIFS(CartasAtributos!D$5:D$98,E128,CartasAtributos!F$5:F$98,B128)</f>
        <v>0</v>
      </c>
    </row>
    <row r="129" spans="1:6" hidden="1" x14ac:dyDescent="0.25">
      <c r="A129" s="1" t="s">
        <v>76</v>
      </c>
      <c r="B129" s="1" t="s">
        <v>77</v>
      </c>
      <c r="D129" s="1" t="s">
        <v>87</v>
      </c>
      <c r="E129" s="1" t="s">
        <v>88</v>
      </c>
      <c r="F129" s="1">
        <f>COUNTIFS(CartasAtributos!D$5:D$98,B129,CartasAtributos!F$5:F$98,E129)+COUNTIFS(CartasAtributos!D$5:D$98,E129,CartasAtributos!F$5:F$98,B129)</f>
        <v>0</v>
      </c>
    </row>
    <row r="130" spans="1:6" x14ac:dyDescent="0.25">
      <c r="A130" s="1" t="s">
        <v>76</v>
      </c>
      <c r="B130" s="1" t="s">
        <v>77</v>
      </c>
      <c r="D130" s="1" t="s">
        <v>87</v>
      </c>
      <c r="E130" s="1" t="s">
        <v>89</v>
      </c>
      <c r="F130" s="1">
        <f>COUNTIFS(CartasAtributos!D$5:D$98,B130,CartasAtributos!F$5:F$98,E130)+COUNTIFS(CartasAtributos!D$5:D$98,E130,CartasAtributos!F$5:F$98,B130)</f>
        <v>2</v>
      </c>
    </row>
    <row r="131" spans="1:6" hidden="1" x14ac:dyDescent="0.25">
      <c r="A131" s="1" t="s">
        <v>76</v>
      </c>
      <c r="B131" s="1" t="s">
        <v>77</v>
      </c>
      <c r="D131" s="1" t="s">
        <v>87</v>
      </c>
      <c r="E131" s="1" t="s">
        <v>90</v>
      </c>
      <c r="F131" s="1">
        <f>COUNTIFS(CartasAtributos!D$5:D$98,B131,CartasAtributos!F$5:F$98,E131)+COUNTIFS(CartasAtributos!D$5:D$98,E131,CartasAtributos!F$5:F$98,B131)</f>
        <v>0</v>
      </c>
    </row>
    <row r="132" spans="1:6" x14ac:dyDescent="0.25">
      <c r="A132" s="1" t="s">
        <v>76</v>
      </c>
      <c r="B132" s="1" t="s">
        <v>77</v>
      </c>
      <c r="D132" s="1" t="s">
        <v>87</v>
      </c>
      <c r="E132" s="1" t="s">
        <v>91</v>
      </c>
      <c r="F132" s="1">
        <f>COUNTIFS(CartasAtributos!D$5:D$98,B132,CartasAtributos!F$5:F$98,E132)+COUNTIFS(CartasAtributos!D$5:D$98,E132,CartasAtributos!F$5:F$98,B132)</f>
        <v>1</v>
      </c>
    </row>
    <row r="133" spans="1:6" hidden="1" x14ac:dyDescent="0.25">
      <c r="A133" s="1" t="s">
        <v>76</v>
      </c>
      <c r="B133" s="1" t="s">
        <v>77</v>
      </c>
      <c r="D133" s="1" t="s">
        <v>87</v>
      </c>
      <c r="E133" s="1" t="s">
        <v>92</v>
      </c>
      <c r="F133" s="1">
        <f>COUNTIFS(CartasAtributos!D$5:D$98,B133,CartasAtributos!F$5:F$98,E133)+COUNTIFS(CartasAtributos!D$5:D$98,E133,CartasAtributos!F$5:F$98,B133)</f>
        <v>0</v>
      </c>
    </row>
    <row r="134" spans="1:6" hidden="1" x14ac:dyDescent="0.25">
      <c r="A134" s="1" t="s">
        <v>76</v>
      </c>
      <c r="B134" s="1" t="s">
        <v>78</v>
      </c>
      <c r="D134" s="1" t="s">
        <v>87</v>
      </c>
      <c r="E134" s="1" t="s">
        <v>88</v>
      </c>
      <c r="F134" s="1">
        <f>COUNTIFS(CartasAtributos!D$5:D$98,B134,CartasAtributos!F$5:F$98,E134)+COUNTIFS(CartasAtributos!D$5:D$98,E134,CartasAtributos!F$5:F$98,B134)</f>
        <v>0</v>
      </c>
    </row>
    <row r="135" spans="1:6" x14ac:dyDescent="0.25">
      <c r="A135" s="1" t="s">
        <v>76</v>
      </c>
      <c r="B135" s="1" t="s">
        <v>78</v>
      </c>
      <c r="D135" s="1" t="s">
        <v>87</v>
      </c>
      <c r="E135" s="1" t="s">
        <v>89</v>
      </c>
      <c r="F135" s="1">
        <f>COUNTIFS(CartasAtributos!D$5:D$98,B135,CartasAtributos!F$5:F$98,E135)+COUNTIFS(CartasAtributos!D$5:D$98,E135,CartasAtributos!F$5:F$98,B135)</f>
        <v>1</v>
      </c>
    </row>
    <row r="136" spans="1:6" x14ac:dyDescent="0.25">
      <c r="A136" s="1" t="s">
        <v>76</v>
      </c>
      <c r="B136" s="1" t="s">
        <v>78</v>
      </c>
      <c r="D136" s="1" t="s">
        <v>87</v>
      </c>
      <c r="E136" s="1" t="s">
        <v>90</v>
      </c>
      <c r="F136" s="1">
        <f>COUNTIFS(CartasAtributos!D$5:D$98,B136,CartasAtributos!F$5:F$98,E136)+COUNTIFS(CartasAtributos!D$5:D$98,E136,CartasAtributos!F$5:F$98,B136)</f>
        <v>1</v>
      </c>
    </row>
    <row r="137" spans="1:6" hidden="1" x14ac:dyDescent="0.25">
      <c r="A137" s="1" t="s">
        <v>76</v>
      </c>
      <c r="B137" s="1" t="s">
        <v>78</v>
      </c>
      <c r="D137" s="1" t="s">
        <v>87</v>
      </c>
      <c r="E137" s="1" t="s">
        <v>91</v>
      </c>
      <c r="F137" s="1">
        <f>COUNTIFS(CartasAtributos!D$5:D$98,B137,CartasAtributos!F$5:F$98,E137)+COUNTIFS(CartasAtributos!D$5:D$98,E137,CartasAtributos!F$5:F$98,B137)</f>
        <v>0</v>
      </c>
    </row>
    <row r="138" spans="1:6" hidden="1" x14ac:dyDescent="0.25">
      <c r="A138" s="1" t="s">
        <v>76</v>
      </c>
      <c r="B138" s="1" t="s">
        <v>78</v>
      </c>
      <c r="D138" s="1" t="s">
        <v>87</v>
      </c>
      <c r="E138" s="1" t="s">
        <v>92</v>
      </c>
      <c r="F138" s="1">
        <f>COUNTIFS(CartasAtributos!D$5:D$98,B138,CartasAtributos!F$5:F$98,E138)+COUNTIFS(CartasAtributos!D$5:D$98,E138,CartasAtributos!F$5:F$98,B138)</f>
        <v>0</v>
      </c>
    </row>
    <row r="139" spans="1:6" hidden="1" x14ac:dyDescent="0.25">
      <c r="A139" s="1" t="s">
        <v>76</v>
      </c>
      <c r="B139" s="1" t="s">
        <v>67</v>
      </c>
      <c r="D139" s="1" t="s">
        <v>87</v>
      </c>
      <c r="E139" s="1" t="s">
        <v>88</v>
      </c>
      <c r="F139" s="1">
        <f>COUNTIFS(CartasAtributos!D$5:D$98,B139,CartasAtributos!F$5:F$98,E139)+COUNTIFS(CartasAtributos!D$5:D$98,E139,CartasAtributos!F$5:F$98,B139)</f>
        <v>0</v>
      </c>
    </row>
    <row r="140" spans="1:6" hidden="1" x14ac:dyDescent="0.25">
      <c r="A140" s="1" t="s">
        <v>76</v>
      </c>
      <c r="B140" s="1" t="s">
        <v>67</v>
      </c>
      <c r="D140" s="1" t="s">
        <v>87</v>
      </c>
      <c r="E140" s="1" t="s">
        <v>89</v>
      </c>
      <c r="F140" s="1">
        <f>COUNTIFS(CartasAtributos!D$5:D$98,B140,CartasAtributos!F$5:F$98,E140)+COUNTIFS(CartasAtributos!D$5:D$98,E140,CartasAtributos!F$5:F$98,B140)</f>
        <v>0</v>
      </c>
    </row>
    <row r="141" spans="1:6" hidden="1" x14ac:dyDescent="0.25">
      <c r="A141" s="1" t="s">
        <v>76</v>
      </c>
      <c r="B141" s="1" t="s">
        <v>67</v>
      </c>
      <c r="D141" s="1" t="s">
        <v>87</v>
      </c>
      <c r="E141" s="1" t="s">
        <v>90</v>
      </c>
      <c r="F141" s="1">
        <f>COUNTIFS(CartasAtributos!D$5:D$98,B141,CartasAtributos!F$5:F$98,E141)+COUNTIFS(CartasAtributos!D$5:D$98,E141,CartasAtributos!F$5:F$98,B141)</f>
        <v>0</v>
      </c>
    </row>
    <row r="142" spans="1:6" hidden="1" x14ac:dyDescent="0.25">
      <c r="A142" s="1" t="s">
        <v>76</v>
      </c>
      <c r="B142" s="1" t="s">
        <v>67</v>
      </c>
      <c r="D142" s="1" t="s">
        <v>87</v>
      </c>
      <c r="E142" s="1" t="s">
        <v>91</v>
      </c>
      <c r="F142" s="1">
        <f>COUNTIFS(CartasAtributos!D$5:D$98,B142,CartasAtributos!F$5:F$98,E142)+COUNTIFS(CartasAtributos!D$5:D$98,E142,CartasAtributos!F$5:F$98,B142)</f>
        <v>0</v>
      </c>
    </row>
    <row r="143" spans="1:6" x14ac:dyDescent="0.25">
      <c r="A143" s="1" t="s">
        <v>76</v>
      </c>
      <c r="B143" s="1" t="s">
        <v>67</v>
      </c>
      <c r="D143" s="1" t="s">
        <v>87</v>
      </c>
      <c r="E143" s="1" t="s">
        <v>92</v>
      </c>
      <c r="F143" s="1">
        <f>COUNTIFS(CartasAtributos!D$5:D$98,B143,CartasAtributos!F$5:F$98,E143)+COUNTIFS(CartasAtributos!D$5:D$98,E143,CartasAtributos!F$5:F$98,B143)</f>
        <v>1</v>
      </c>
    </row>
    <row r="144" spans="1:6" hidden="1" x14ac:dyDescent="0.25">
      <c r="A144" s="1" t="s">
        <v>76</v>
      </c>
      <c r="B144" s="1" t="s">
        <v>79</v>
      </c>
      <c r="D144" s="1" t="s">
        <v>87</v>
      </c>
      <c r="E144" s="1" t="s">
        <v>88</v>
      </c>
      <c r="F144" s="1">
        <f>COUNTIFS(CartasAtributos!D$5:D$98,B144,CartasAtributos!F$5:F$98,E144)+COUNTIFS(CartasAtributos!D$5:D$98,E144,CartasAtributos!F$5:F$98,B144)</f>
        <v>0</v>
      </c>
    </row>
    <row r="145" spans="1:6" hidden="1" x14ac:dyDescent="0.25">
      <c r="A145" s="1" t="s">
        <v>76</v>
      </c>
      <c r="B145" s="1" t="s">
        <v>79</v>
      </c>
      <c r="D145" s="1" t="s">
        <v>87</v>
      </c>
      <c r="E145" s="1" t="s">
        <v>89</v>
      </c>
      <c r="F145" s="1">
        <f>COUNTIFS(CartasAtributos!D$5:D$98,B145,CartasAtributos!F$5:F$98,E145)+COUNTIFS(CartasAtributos!D$5:D$98,E145,CartasAtributos!F$5:F$98,B145)</f>
        <v>0</v>
      </c>
    </row>
    <row r="146" spans="1:6" hidden="1" x14ac:dyDescent="0.25">
      <c r="A146" s="1" t="s">
        <v>76</v>
      </c>
      <c r="B146" s="1" t="s">
        <v>79</v>
      </c>
      <c r="D146" s="1" t="s">
        <v>87</v>
      </c>
      <c r="E146" s="1" t="s">
        <v>90</v>
      </c>
      <c r="F146" s="1">
        <f>COUNTIFS(CartasAtributos!D$5:D$98,B146,CartasAtributos!F$5:F$98,E146)+COUNTIFS(CartasAtributos!D$5:D$98,E146,CartasAtributos!F$5:F$98,B146)</f>
        <v>0</v>
      </c>
    </row>
    <row r="147" spans="1:6" hidden="1" x14ac:dyDescent="0.25">
      <c r="A147" s="1" t="s">
        <v>76</v>
      </c>
      <c r="B147" s="1" t="s">
        <v>79</v>
      </c>
      <c r="D147" s="1" t="s">
        <v>87</v>
      </c>
      <c r="E147" s="1" t="s">
        <v>91</v>
      </c>
      <c r="F147" s="1">
        <f>COUNTIFS(CartasAtributos!D$5:D$98,B147,CartasAtributos!F$5:F$98,E147)+COUNTIFS(CartasAtributos!D$5:D$98,E147,CartasAtributos!F$5:F$98,B147)</f>
        <v>0</v>
      </c>
    </row>
    <row r="148" spans="1:6" hidden="1" x14ac:dyDescent="0.25">
      <c r="A148" s="1" t="s">
        <v>76</v>
      </c>
      <c r="B148" s="1" t="s">
        <v>79</v>
      </c>
      <c r="D148" s="1" t="s">
        <v>87</v>
      </c>
      <c r="E148" s="1" t="s">
        <v>92</v>
      </c>
      <c r="F148" s="1">
        <f>COUNTIFS(CartasAtributos!D$5:D$98,B148,CartasAtributos!F$5:F$98,E148)+COUNTIFS(CartasAtributos!D$5:D$98,E148,CartasAtributos!F$5:F$98,B148)</f>
        <v>0</v>
      </c>
    </row>
    <row r="149" spans="1:6" hidden="1" x14ac:dyDescent="0.25">
      <c r="A149" s="1" t="s">
        <v>76</v>
      </c>
      <c r="B149" s="1" t="s">
        <v>80</v>
      </c>
      <c r="D149" s="1" t="s">
        <v>87</v>
      </c>
      <c r="E149" s="1" t="s">
        <v>88</v>
      </c>
      <c r="F149" s="1">
        <f>COUNTIFS(CartasAtributos!D$5:D$98,B149,CartasAtributos!F$5:F$98,E149)+COUNTIFS(CartasAtributos!D$5:D$98,E149,CartasAtributos!F$5:F$98,B149)</f>
        <v>0</v>
      </c>
    </row>
    <row r="150" spans="1:6" hidden="1" x14ac:dyDescent="0.25">
      <c r="A150" s="1" t="s">
        <v>76</v>
      </c>
      <c r="B150" s="1" t="s">
        <v>80</v>
      </c>
      <c r="D150" s="1" t="s">
        <v>87</v>
      </c>
      <c r="E150" s="1" t="s">
        <v>89</v>
      </c>
      <c r="F150" s="1">
        <f>COUNTIFS(CartasAtributos!D$5:D$98,B150,CartasAtributos!F$5:F$98,E150)+COUNTIFS(CartasAtributos!D$5:D$98,E150,CartasAtributos!F$5:F$98,B150)</f>
        <v>0</v>
      </c>
    </row>
    <row r="151" spans="1:6" hidden="1" x14ac:dyDescent="0.25">
      <c r="A151" s="1" t="s">
        <v>76</v>
      </c>
      <c r="B151" s="1" t="s">
        <v>80</v>
      </c>
      <c r="D151" s="1" t="s">
        <v>87</v>
      </c>
      <c r="E151" s="1" t="s">
        <v>90</v>
      </c>
      <c r="F151" s="1">
        <f>COUNTIFS(CartasAtributos!D$5:D$98,B151,CartasAtributos!F$5:F$98,E151)+COUNTIFS(CartasAtributos!D$5:D$98,E151,CartasAtributos!F$5:F$98,B151)</f>
        <v>0</v>
      </c>
    </row>
    <row r="152" spans="1:6" hidden="1" x14ac:dyDescent="0.25">
      <c r="A152" s="1" t="s">
        <v>76</v>
      </c>
      <c r="B152" s="1" t="s">
        <v>80</v>
      </c>
      <c r="D152" s="1" t="s">
        <v>87</v>
      </c>
      <c r="E152" s="1" t="s">
        <v>91</v>
      </c>
      <c r="F152" s="1">
        <f>COUNTIFS(CartasAtributos!D$5:D$98,B152,CartasAtributos!F$5:F$98,E152)+COUNTIFS(CartasAtributos!D$5:D$98,E152,CartasAtributos!F$5:F$98,B152)</f>
        <v>0</v>
      </c>
    </row>
    <row r="153" spans="1:6" hidden="1" x14ac:dyDescent="0.25">
      <c r="A153" s="1" t="s">
        <v>76</v>
      </c>
      <c r="B153" s="1" t="s">
        <v>80</v>
      </c>
      <c r="D153" s="1" t="s">
        <v>87</v>
      </c>
      <c r="E153" s="1" t="s">
        <v>92</v>
      </c>
      <c r="F153" s="1">
        <f>COUNTIFS(CartasAtributos!D$5:D$98,B153,CartasAtributos!F$5:F$98,E153)+COUNTIFS(CartasAtributos!D$5:D$98,E153,CartasAtributos!F$5:F$98,B153)</f>
        <v>0</v>
      </c>
    </row>
    <row r="154" spans="1:6" hidden="1" x14ac:dyDescent="0.25">
      <c r="A154" s="1" t="s">
        <v>76</v>
      </c>
      <c r="B154" s="1" t="s">
        <v>77</v>
      </c>
      <c r="D154" s="1" t="s">
        <v>93</v>
      </c>
      <c r="E154" s="1" t="s">
        <v>94</v>
      </c>
      <c r="F154" s="1">
        <f>COUNTIFS(CartasAtributos!D$5:D$98,B154,CartasAtributos!F$5:F$98,E154)+COUNTIFS(CartasAtributos!D$5:D$98,E154,CartasAtributos!F$5:F$98,B154)</f>
        <v>0</v>
      </c>
    </row>
    <row r="155" spans="1:6" x14ac:dyDescent="0.25">
      <c r="A155" s="1" t="s">
        <v>76</v>
      </c>
      <c r="B155" s="1" t="s">
        <v>77</v>
      </c>
      <c r="D155" s="1" t="s">
        <v>93</v>
      </c>
      <c r="E155" s="1" t="s">
        <v>95</v>
      </c>
      <c r="F155" s="1">
        <f>COUNTIFS(CartasAtributos!D$5:D$98,B155,CartasAtributos!F$5:F$98,E155)+COUNTIFS(CartasAtributos!D$5:D$98,E155,CartasAtributos!F$5:F$98,B155)</f>
        <v>1</v>
      </c>
    </row>
    <row r="156" spans="1:6" hidden="1" x14ac:dyDescent="0.25">
      <c r="A156" s="1" t="s">
        <v>76</v>
      </c>
      <c r="B156" s="1" t="s">
        <v>77</v>
      </c>
      <c r="D156" s="1" t="s">
        <v>93</v>
      </c>
      <c r="E156" s="1" t="s">
        <v>96</v>
      </c>
      <c r="F156" s="1">
        <f>COUNTIFS(CartasAtributos!D$5:D$98,B156,CartasAtributos!F$5:F$98,E156)+COUNTIFS(CartasAtributos!D$5:D$98,E156,CartasAtributos!F$5:F$98,B156)</f>
        <v>0</v>
      </c>
    </row>
    <row r="157" spans="1:6" hidden="1" x14ac:dyDescent="0.25">
      <c r="A157" s="1" t="s">
        <v>76</v>
      </c>
      <c r="B157" s="1" t="s">
        <v>77</v>
      </c>
      <c r="D157" s="1" t="s">
        <v>93</v>
      </c>
      <c r="E157" s="1" t="s">
        <v>97</v>
      </c>
      <c r="F157" s="1">
        <f>COUNTIFS(CartasAtributos!D$5:D$98,B157,CartasAtributos!F$5:F$98,E157)+COUNTIFS(CartasAtributos!D$5:D$98,E157,CartasAtributos!F$5:F$98,B157)</f>
        <v>0</v>
      </c>
    </row>
    <row r="158" spans="1:6" hidden="1" x14ac:dyDescent="0.25">
      <c r="A158" s="1" t="s">
        <v>76</v>
      </c>
      <c r="B158" s="1" t="s">
        <v>77</v>
      </c>
      <c r="D158" s="1" t="s">
        <v>93</v>
      </c>
      <c r="E158" s="1" t="s">
        <v>98</v>
      </c>
      <c r="F158" s="1">
        <f>COUNTIFS(CartasAtributos!D$5:D$98,B158,CartasAtributos!F$5:F$98,E158)+COUNTIFS(CartasAtributos!D$5:D$98,E158,CartasAtributos!F$5:F$98,B158)</f>
        <v>0</v>
      </c>
    </row>
    <row r="159" spans="1:6" hidden="1" x14ac:dyDescent="0.25">
      <c r="A159" s="1" t="s">
        <v>76</v>
      </c>
      <c r="B159" s="1" t="s">
        <v>78</v>
      </c>
      <c r="D159" s="1" t="s">
        <v>93</v>
      </c>
      <c r="E159" s="1" t="s">
        <v>94</v>
      </c>
      <c r="F159" s="1">
        <f>COUNTIFS(CartasAtributos!D$5:D$98,B159,CartasAtributos!F$5:F$98,E159)+COUNTIFS(CartasAtributos!D$5:D$98,E159,CartasAtributos!F$5:F$98,B159)</f>
        <v>0</v>
      </c>
    </row>
    <row r="160" spans="1:6" x14ac:dyDescent="0.25">
      <c r="A160" s="1" t="s">
        <v>76</v>
      </c>
      <c r="B160" s="1" t="s">
        <v>78</v>
      </c>
      <c r="D160" s="1" t="s">
        <v>93</v>
      </c>
      <c r="E160" s="1" t="s">
        <v>95</v>
      </c>
      <c r="F160" s="1">
        <f>COUNTIFS(CartasAtributos!D$5:D$98,B160,CartasAtributos!F$5:F$98,E160)+COUNTIFS(CartasAtributos!D$5:D$98,E160,CartasAtributos!F$5:F$98,B160)</f>
        <v>1</v>
      </c>
    </row>
    <row r="161" spans="1:6" x14ac:dyDescent="0.25">
      <c r="A161" s="1" t="s">
        <v>76</v>
      </c>
      <c r="B161" s="1" t="s">
        <v>78</v>
      </c>
      <c r="D161" s="1" t="s">
        <v>93</v>
      </c>
      <c r="E161" s="1" t="s">
        <v>96</v>
      </c>
      <c r="F161" s="1">
        <f>COUNTIFS(CartasAtributos!D$5:D$98,B161,CartasAtributos!F$5:F$98,E161)+COUNTIFS(CartasAtributos!D$5:D$98,E161,CartasAtributos!F$5:F$98,B161)</f>
        <v>2</v>
      </c>
    </row>
    <row r="162" spans="1:6" hidden="1" x14ac:dyDescent="0.25">
      <c r="A162" s="1" t="s">
        <v>76</v>
      </c>
      <c r="B162" s="1" t="s">
        <v>78</v>
      </c>
      <c r="D162" s="1" t="s">
        <v>93</v>
      </c>
      <c r="E162" s="1" t="s">
        <v>97</v>
      </c>
      <c r="F162" s="1">
        <f>COUNTIFS(CartasAtributos!D$5:D$98,B162,CartasAtributos!F$5:F$98,E162)+COUNTIFS(CartasAtributos!D$5:D$98,E162,CartasAtributos!F$5:F$98,B162)</f>
        <v>0</v>
      </c>
    </row>
    <row r="163" spans="1:6" x14ac:dyDescent="0.25">
      <c r="A163" s="1" t="s">
        <v>76</v>
      </c>
      <c r="B163" s="1" t="s">
        <v>78</v>
      </c>
      <c r="D163" s="1" t="s">
        <v>93</v>
      </c>
      <c r="E163" s="1" t="s">
        <v>98</v>
      </c>
      <c r="F163" s="1">
        <f>COUNTIFS(CartasAtributos!D$5:D$98,B163,CartasAtributos!F$5:F$98,E163)+COUNTIFS(CartasAtributos!D$5:D$98,E163,CartasAtributos!F$5:F$98,B163)</f>
        <v>2</v>
      </c>
    </row>
    <row r="164" spans="1:6" hidden="1" x14ac:dyDescent="0.25">
      <c r="A164" s="1" t="s">
        <v>76</v>
      </c>
      <c r="B164" s="1" t="s">
        <v>67</v>
      </c>
      <c r="D164" s="1" t="s">
        <v>93</v>
      </c>
      <c r="E164" s="1" t="s">
        <v>94</v>
      </c>
      <c r="F164" s="1">
        <f>COUNTIFS(CartasAtributos!D$5:D$98,B164,CartasAtributos!F$5:F$98,E164)+COUNTIFS(CartasAtributos!D$5:D$98,E164,CartasAtributos!F$5:F$98,B164)</f>
        <v>0</v>
      </c>
    </row>
    <row r="165" spans="1:6" hidden="1" x14ac:dyDescent="0.25">
      <c r="A165" s="1" t="s">
        <v>76</v>
      </c>
      <c r="B165" s="1" t="s">
        <v>67</v>
      </c>
      <c r="D165" s="1" t="s">
        <v>93</v>
      </c>
      <c r="E165" s="1" t="s">
        <v>95</v>
      </c>
      <c r="F165" s="1">
        <f>COUNTIFS(CartasAtributos!D$5:D$98,B165,CartasAtributos!F$5:F$98,E165)+COUNTIFS(CartasAtributos!D$5:D$98,E165,CartasAtributos!F$5:F$98,B165)</f>
        <v>0</v>
      </c>
    </row>
    <row r="166" spans="1:6" hidden="1" x14ac:dyDescent="0.25">
      <c r="A166" s="1" t="s">
        <v>76</v>
      </c>
      <c r="B166" s="1" t="s">
        <v>67</v>
      </c>
      <c r="D166" s="1" t="s">
        <v>93</v>
      </c>
      <c r="E166" s="1" t="s">
        <v>96</v>
      </c>
      <c r="F166" s="1">
        <f>COUNTIFS(CartasAtributos!D$5:D$98,B166,CartasAtributos!F$5:F$98,E166)+COUNTIFS(CartasAtributos!D$5:D$98,E166,CartasAtributos!F$5:F$98,B166)</f>
        <v>0</v>
      </c>
    </row>
    <row r="167" spans="1:6" hidden="1" x14ac:dyDescent="0.25">
      <c r="A167" s="1" t="s">
        <v>76</v>
      </c>
      <c r="B167" s="1" t="s">
        <v>67</v>
      </c>
      <c r="D167" s="1" t="s">
        <v>93</v>
      </c>
      <c r="E167" s="1" t="s">
        <v>97</v>
      </c>
      <c r="F167" s="1">
        <f>COUNTIFS(CartasAtributos!D$5:D$98,B167,CartasAtributos!F$5:F$98,E167)+COUNTIFS(CartasAtributos!D$5:D$98,E167,CartasAtributos!F$5:F$98,B167)</f>
        <v>0</v>
      </c>
    </row>
    <row r="168" spans="1:6" hidden="1" x14ac:dyDescent="0.25">
      <c r="A168" s="1" t="s">
        <v>76</v>
      </c>
      <c r="B168" s="1" t="s">
        <v>67</v>
      </c>
      <c r="D168" s="1" t="s">
        <v>93</v>
      </c>
      <c r="E168" s="1" t="s">
        <v>98</v>
      </c>
      <c r="F168" s="1">
        <f>COUNTIFS(CartasAtributos!D$5:D$98,B168,CartasAtributos!F$5:F$98,E168)+COUNTIFS(CartasAtributos!D$5:D$98,E168,CartasAtributos!F$5:F$98,B168)</f>
        <v>0</v>
      </c>
    </row>
    <row r="169" spans="1:6" x14ac:dyDescent="0.25">
      <c r="A169" s="1" t="s">
        <v>76</v>
      </c>
      <c r="B169" s="1" t="s">
        <v>79</v>
      </c>
      <c r="D169" s="1" t="s">
        <v>93</v>
      </c>
      <c r="E169" s="1" t="s">
        <v>94</v>
      </c>
      <c r="F169" s="1">
        <f>COUNTIFS(CartasAtributos!D$5:D$98,B169,CartasAtributos!F$5:F$98,E169)+COUNTIFS(CartasAtributos!D$5:D$98,E169,CartasAtributos!F$5:F$98,B169)</f>
        <v>1</v>
      </c>
    </row>
    <row r="170" spans="1:6" hidden="1" x14ac:dyDescent="0.25">
      <c r="A170" s="1" t="s">
        <v>76</v>
      </c>
      <c r="B170" s="1" t="s">
        <v>79</v>
      </c>
      <c r="D170" s="1" t="s">
        <v>93</v>
      </c>
      <c r="E170" s="1" t="s">
        <v>95</v>
      </c>
      <c r="F170" s="1">
        <f>COUNTIFS(CartasAtributos!D$5:D$98,B170,CartasAtributos!F$5:F$98,E170)+COUNTIFS(CartasAtributos!D$5:D$98,E170,CartasAtributos!F$5:F$98,B170)</f>
        <v>0</v>
      </c>
    </row>
    <row r="171" spans="1:6" x14ac:dyDescent="0.25">
      <c r="A171" s="1" t="s">
        <v>76</v>
      </c>
      <c r="B171" s="1" t="s">
        <v>79</v>
      </c>
      <c r="D171" s="1" t="s">
        <v>93</v>
      </c>
      <c r="E171" s="1" t="s">
        <v>96</v>
      </c>
      <c r="F171" s="1">
        <f>COUNTIFS(CartasAtributos!D$5:D$98,B171,CartasAtributos!F$5:F$98,E171)+COUNTIFS(CartasAtributos!D$5:D$98,E171,CartasAtributos!F$5:F$98,B171)</f>
        <v>1</v>
      </c>
    </row>
    <row r="172" spans="1:6" x14ac:dyDescent="0.25">
      <c r="A172" s="1" t="s">
        <v>76</v>
      </c>
      <c r="B172" s="1" t="s">
        <v>79</v>
      </c>
      <c r="D172" s="1" t="s">
        <v>93</v>
      </c>
      <c r="E172" s="1" t="s">
        <v>97</v>
      </c>
      <c r="F172" s="1">
        <f>COUNTIFS(CartasAtributos!D$5:D$98,B172,CartasAtributos!F$5:F$98,E172)+COUNTIFS(CartasAtributos!D$5:D$98,E172,CartasAtributos!F$5:F$98,B172)</f>
        <v>2</v>
      </c>
    </row>
    <row r="173" spans="1:6" x14ac:dyDescent="0.25">
      <c r="A173" s="1" t="s">
        <v>76</v>
      </c>
      <c r="B173" s="1" t="s">
        <v>79</v>
      </c>
      <c r="D173" s="1" t="s">
        <v>93</v>
      </c>
      <c r="E173" s="1" t="s">
        <v>98</v>
      </c>
      <c r="F173" s="1">
        <f>COUNTIFS(CartasAtributos!D$5:D$98,B173,CartasAtributos!F$5:F$98,E173)+COUNTIFS(CartasAtributos!D$5:D$98,E173,CartasAtributos!F$5:F$98,B173)</f>
        <v>1</v>
      </c>
    </row>
    <row r="174" spans="1:6" hidden="1" x14ac:dyDescent="0.25">
      <c r="A174" s="1" t="s">
        <v>76</v>
      </c>
      <c r="B174" s="1" t="s">
        <v>80</v>
      </c>
      <c r="D174" s="1" t="s">
        <v>93</v>
      </c>
      <c r="E174" s="1" t="s">
        <v>94</v>
      </c>
      <c r="F174" s="1">
        <f>COUNTIFS(CartasAtributos!D$5:D$98,B174,CartasAtributos!F$5:F$98,E174)+COUNTIFS(CartasAtributos!D$5:D$98,E174,CartasAtributos!F$5:F$98,B174)</f>
        <v>0</v>
      </c>
    </row>
    <row r="175" spans="1:6" hidden="1" x14ac:dyDescent="0.25">
      <c r="A175" s="1" t="s">
        <v>76</v>
      </c>
      <c r="B175" s="1" t="s">
        <v>80</v>
      </c>
      <c r="D175" s="1" t="s">
        <v>93</v>
      </c>
      <c r="E175" s="1" t="s">
        <v>95</v>
      </c>
      <c r="F175" s="1">
        <f>COUNTIFS(CartasAtributos!D$5:D$98,B175,CartasAtributos!F$5:F$98,E175)+COUNTIFS(CartasAtributos!D$5:D$98,E175,CartasAtributos!F$5:F$98,B175)</f>
        <v>0</v>
      </c>
    </row>
    <row r="176" spans="1:6" hidden="1" x14ac:dyDescent="0.25">
      <c r="A176" s="1" t="s">
        <v>76</v>
      </c>
      <c r="B176" s="1" t="s">
        <v>80</v>
      </c>
      <c r="D176" s="1" t="s">
        <v>93</v>
      </c>
      <c r="E176" s="1" t="s">
        <v>96</v>
      </c>
      <c r="F176" s="1">
        <f>COUNTIFS(CartasAtributos!D$5:D$98,B176,CartasAtributos!F$5:F$98,E176)+COUNTIFS(CartasAtributos!D$5:D$98,E176,CartasAtributos!F$5:F$98,B176)</f>
        <v>0</v>
      </c>
    </row>
    <row r="177" spans="1:6" x14ac:dyDescent="0.25">
      <c r="A177" s="1" t="s">
        <v>76</v>
      </c>
      <c r="B177" s="1" t="s">
        <v>80</v>
      </c>
      <c r="D177" s="1" t="s">
        <v>93</v>
      </c>
      <c r="E177" s="1" t="s">
        <v>97</v>
      </c>
      <c r="F177" s="1">
        <f>COUNTIFS(CartasAtributos!D$5:D$98,B177,CartasAtributos!F$5:F$98,E177)+COUNTIFS(CartasAtributos!D$5:D$98,E177,CartasAtributos!F$5:F$98,B177)</f>
        <v>2</v>
      </c>
    </row>
    <row r="178" spans="1:6" x14ac:dyDescent="0.25">
      <c r="A178" s="1" t="s">
        <v>76</v>
      </c>
      <c r="B178" s="1" t="s">
        <v>80</v>
      </c>
      <c r="D178" s="1" t="s">
        <v>93</v>
      </c>
      <c r="E178" s="1" t="s">
        <v>98</v>
      </c>
      <c r="F178" s="1">
        <f>COUNTIFS(CartasAtributos!D$5:D$98,B178,CartasAtributos!F$5:F$98,E178)+COUNTIFS(CartasAtributos!D$5:D$98,E178,CartasAtributos!F$5:F$98,B178)</f>
        <v>1</v>
      </c>
    </row>
    <row r="179" spans="1:6" hidden="1" x14ac:dyDescent="0.25">
      <c r="A179" s="1" t="s">
        <v>81</v>
      </c>
      <c r="B179" s="1" t="s">
        <v>82</v>
      </c>
      <c r="D179" s="1" t="s">
        <v>87</v>
      </c>
      <c r="E179" s="1" t="s">
        <v>88</v>
      </c>
      <c r="F179" s="1">
        <f>COUNTIFS(CartasAtributos!D$5:D$98,B179,CartasAtributos!F$5:F$98,E179)+COUNTIFS(CartasAtributos!D$5:D$98,E179,CartasAtributos!F$5:F$98,B179)</f>
        <v>0</v>
      </c>
    </row>
    <row r="180" spans="1:6" hidden="1" x14ac:dyDescent="0.25">
      <c r="A180" s="1" t="s">
        <v>81</v>
      </c>
      <c r="B180" s="1" t="s">
        <v>82</v>
      </c>
      <c r="D180" s="1" t="s">
        <v>87</v>
      </c>
      <c r="E180" s="1" t="s">
        <v>89</v>
      </c>
      <c r="F180" s="1">
        <f>COUNTIFS(CartasAtributos!D$5:D$98,B180,CartasAtributos!F$5:F$98,E180)+COUNTIFS(CartasAtributos!D$5:D$98,E180,CartasAtributos!F$5:F$98,B180)</f>
        <v>0</v>
      </c>
    </row>
    <row r="181" spans="1:6" hidden="1" x14ac:dyDescent="0.25">
      <c r="A181" s="1" t="s">
        <v>81</v>
      </c>
      <c r="B181" s="1" t="s">
        <v>82</v>
      </c>
      <c r="D181" s="1" t="s">
        <v>87</v>
      </c>
      <c r="E181" s="1" t="s">
        <v>90</v>
      </c>
      <c r="F181" s="1">
        <f>COUNTIFS(CartasAtributos!D$5:D$98,B181,CartasAtributos!F$5:F$98,E181)+COUNTIFS(CartasAtributos!D$5:D$98,E181,CartasAtributos!F$5:F$98,B181)</f>
        <v>0</v>
      </c>
    </row>
    <row r="182" spans="1:6" hidden="1" x14ac:dyDescent="0.25">
      <c r="A182" s="1" t="s">
        <v>81</v>
      </c>
      <c r="B182" s="1" t="s">
        <v>82</v>
      </c>
      <c r="D182" s="1" t="s">
        <v>87</v>
      </c>
      <c r="E182" s="1" t="s">
        <v>91</v>
      </c>
      <c r="F182" s="1">
        <f>COUNTIFS(CartasAtributos!D$5:D$98,B182,CartasAtributos!F$5:F$98,E182)+COUNTIFS(CartasAtributos!D$5:D$98,E182,CartasAtributos!F$5:F$98,B182)</f>
        <v>0</v>
      </c>
    </row>
    <row r="183" spans="1:6" hidden="1" x14ac:dyDescent="0.25">
      <c r="A183" s="1" t="s">
        <v>81</v>
      </c>
      <c r="B183" s="1" t="s">
        <v>82</v>
      </c>
      <c r="D183" s="1" t="s">
        <v>87</v>
      </c>
      <c r="E183" s="1" t="s">
        <v>92</v>
      </c>
      <c r="F183" s="1">
        <f>COUNTIFS(CartasAtributos!D$5:D$98,B183,CartasAtributos!F$5:F$98,E183)+COUNTIFS(CartasAtributos!D$5:D$98,E183,CartasAtributos!F$5:F$98,B183)</f>
        <v>0</v>
      </c>
    </row>
    <row r="184" spans="1:6" x14ac:dyDescent="0.25">
      <c r="A184" s="1" t="s">
        <v>81</v>
      </c>
      <c r="B184" s="1" t="s">
        <v>83</v>
      </c>
      <c r="D184" s="1" t="s">
        <v>87</v>
      </c>
      <c r="E184" s="1" t="s">
        <v>88</v>
      </c>
      <c r="F184" s="1">
        <f>COUNTIFS(CartasAtributos!D$5:D$98,B184,CartasAtributos!F$5:F$98,E184)+COUNTIFS(CartasAtributos!D$5:D$98,E184,CartasAtributos!F$5:F$98,B184)</f>
        <v>1</v>
      </c>
    </row>
    <row r="185" spans="1:6" hidden="1" x14ac:dyDescent="0.25">
      <c r="A185" s="1" t="s">
        <v>81</v>
      </c>
      <c r="B185" s="1" t="s">
        <v>83</v>
      </c>
      <c r="D185" s="1" t="s">
        <v>87</v>
      </c>
      <c r="E185" s="1" t="s">
        <v>89</v>
      </c>
      <c r="F185" s="1">
        <f>COUNTIFS(CartasAtributos!D$5:D$98,B185,CartasAtributos!F$5:F$98,E185)+COUNTIFS(CartasAtributos!D$5:D$98,E185,CartasAtributos!F$5:F$98,B185)</f>
        <v>0</v>
      </c>
    </row>
    <row r="186" spans="1:6" hidden="1" x14ac:dyDescent="0.25">
      <c r="A186" s="1" t="s">
        <v>81</v>
      </c>
      <c r="B186" s="1" t="s">
        <v>83</v>
      </c>
      <c r="D186" s="1" t="s">
        <v>87</v>
      </c>
      <c r="E186" s="1" t="s">
        <v>90</v>
      </c>
      <c r="F186" s="1">
        <f>COUNTIFS(CartasAtributos!D$5:D$98,B186,CartasAtributos!F$5:F$98,E186)+COUNTIFS(CartasAtributos!D$5:D$98,E186,CartasAtributos!F$5:F$98,B186)</f>
        <v>0</v>
      </c>
    </row>
    <row r="187" spans="1:6" x14ac:dyDescent="0.25">
      <c r="A187" s="1" t="s">
        <v>81</v>
      </c>
      <c r="B187" s="1" t="s">
        <v>83</v>
      </c>
      <c r="D187" s="1" t="s">
        <v>87</v>
      </c>
      <c r="E187" s="1" t="s">
        <v>91</v>
      </c>
      <c r="F187" s="1">
        <f>COUNTIFS(CartasAtributos!D$5:D$98,B187,CartasAtributos!F$5:F$98,E187)+COUNTIFS(CartasAtributos!D$5:D$98,E187,CartasAtributos!F$5:F$98,B187)</f>
        <v>2</v>
      </c>
    </row>
    <row r="188" spans="1:6" hidden="1" x14ac:dyDescent="0.25">
      <c r="A188" s="1" t="s">
        <v>81</v>
      </c>
      <c r="B188" s="1" t="s">
        <v>83</v>
      </c>
      <c r="D188" s="1" t="s">
        <v>87</v>
      </c>
      <c r="E188" s="1" t="s">
        <v>92</v>
      </c>
      <c r="F188" s="1">
        <f>COUNTIFS(CartasAtributos!D$5:D$98,B188,CartasAtributos!F$5:F$98,E188)+COUNTIFS(CartasAtributos!D$5:D$98,E188,CartasAtributos!F$5:F$98,B188)</f>
        <v>0</v>
      </c>
    </row>
    <row r="189" spans="1:6" x14ac:dyDescent="0.25">
      <c r="A189" s="1" t="s">
        <v>81</v>
      </c>
      <c r="B189" s="1" t="s">
        <v>84</v>
      </c>
      <c r="D189" s="1" t="s">
        <v>87</v>
      </c>
      <c r="E189" s="1" t="s">
        <v>88</v>
      </c>
      <c r="F189" s="1">
        <f>COUNTIFS(CartasAtributos!D$5:D$98,B189,CartasAtributos!F$5:F$98,E189)+COUNTIFS(CartasAtributos!D$5:D$98,E189,CartasAtributos!F$5:F$98,B189)</f>
        <v>2</v>
      </c>
    </row>
    <row r="190" spans="1:6" hidden="1" x14ac:dyDescent="0.25">
      <c r="A190" s="1" t="s">
        <v>81</v>
      </c>
      <c r="B190" s="1" t="s">
        <v>84</v>
      </c>
      <c r="D190" s="1" t="s">
        <v>87</v>
      </c>
      <c r="E190" s="1" t="s">
        <v>89</v>
      </c>
      <c r="F190" s="1">
        <f>COUNTIFS(CartasAtributos!D$5:D$98,B190,CartasAtributos!F$5:F$98,E190)+COUNTIFS(CartasAtributos!D$5:D$98,E190,CartasAtributos!F$5:F$98,B190)</f>
        <v>0</v>
      </c>
    </row>
    <row r="191" spans="1:6" hidden="1" x14ac:dyDescent="0.25">
      <c r="A191" s="1" t="s">
        <v>81</v>
      </c>
      <c r="B191" s="1" t="s">
        <v>84</v>
      </c>
      <c r="D191" s="1" t="s">
        <v>87</v>
      </c>
      <c r="E191" s="1" t="s">
        <v>90</v>
      </c>
      <c r="F191" s="1">
        <f>COUNTIFS(CartasAtributos!D$5:D$98,B191,CartasAtributos!F$5:F$98,E191)+COUNTIFS(CartasAtributos!D$5:D$98,E191,CartasAtributos!F$5:F$98,B191)</f>
        <v>0</v>
      </c>
    </row>
    <row r="192" spans="1:6" hidden="1" x14ac:dyDescent="0.25">
      <c r="A192" s="1" t="s">
        <v>81</v>
      </c>
      <c r="B192" s="1" t="s">
        <v>84</v>
      </c>
      <c r="D192" s="1" t="s">
        <v>87</v>
      </c>
      <c r="E192" s="1" t="s">
        <v>91</v>
      </c>
      <c r="F192" s="1">
        <f>COUNTIFS(CartasAtributos!D$5:D$98,B192,CartasAtributos!F$5:F$98,E192)+COUNTIFS(CartasAtributos!D$5:D$98,E192,CartasAtributos!F$5:F$98,B192)</f>
        <v>0</v>
      </c>
    </row>
    <row r="193" spans="1:6" hidden="1" x14ac:dyDescent="0.25">
      <c r="A193" s="1" t="s">
        <v>81</v>
      </c>
      <c r="B193" s="1" t="s">
        <v>84</v>
      </c>
      <c r="D193" s="1" t="s">
        <v>87</v>
      </c>
      <c r="E193" s="1" t="s">
        <v>92</v>
      </c>
      <c r="F193" s="1">
        <f>COUNTIFS(CartasAtributos!D$5:D$98,B193,CartasAtributos!F$5:F$98,E193)+COUNTIFS(CartasAtributos!D$5:D$98,E193,CartasAtributos!F$5:F$98,B193)</f>
        <v>0</v>
      </c>
    </row>
    <row r="194" spans="1:6" hidden="1" x14ac:dyDescent="0.25">
      <c r="A194" s="1" t="s">
        <v>81</v>
      </c>
      <c r="B194" s="1" t="s">
        <v>85</v>
      </c>
      <c r="D194" s="1" t="s">
        <v>87</v>
      </c>
      <c r="E194" s="1" t="s">
        <v>88</v>
      </c>
      <c r="F194" s="1">
        <f>COUNTIFS(CartasAtributos!D$5:D$98,B194,CartasAtributos!F$5:F$98,E194)+COUNTIFS(CartasAtributos!D$5:D$98,E194,CartasAtributos!F$5:F$98,B194)</f>
        <v>0</v>
      </c>
    </row>
    <row r="195" spans="1:6" hidden="1" x14ac:dyDescent="0.25">
      <c r="A195" s="1" t="s">
        <v>81</v>
      </c>
      <c r="B195" s="1" t="s">
        <v>85</v>
      </c>
      <c r="D195" s="1" t="s">
        <v>87</v>
      </c>
      <c r="E195" s="1" t="s">
        <v>89</v>
      </c>
      <c r="F195" s="1">
        <f>COUNTIFS(CartasAtributos!D$5:D$98,B195,CartasAtributos!F$5:F$98,E195)+COUNTIFS(CartasAtributos!D$5:D$98,E195,CartasAtributos!F$5:F$98,B195)</f>
        <v>0</v>
      </c>
    </row>
    <row r="196" spans="1:6" x14ac:dyDescent="0.25">
      <c r="A196" s="1" t="s">
        <v>81</v>
      </c>
      <c r="B196" s="1" t="s">
        <v>85</v>
      </c>
      <c r="D196" s="1" t="s">
        <v>87</v>
      </c>
      <c r="E196" s="1" t="s">
        <v>90</v>
      </c>
      <c r="F196" s="1">
        <f>COUNTIFS(CartasAtributos!D$5:D$98,B196,CartasAtributos!F$5:F$98,E196)+COUNTIFS(CartasAtributos!D$5:D$98,E196,CartasAtributos!F$5:F$98,B196)</f>
        <v>1</v>
      </c>
    </row>
    <row r="197" spans="1:6" x14ac:dyDescent="0.25">
      <c r="A197" s="1" t="s">
        <v>81</v>
      </c>
      <c r="B197" s="1" t="s">
        <v>85</v>
      </c>
      <c r="D197" s="1" t="s">
        <v>87</v>
      </c>
      <c r="E197" s="1" t="s">
        <v>91</v>
      </c>
      <c r="F197" s="1">
        <f>COUNTIFS(CartasAtributos!D$5:D$98,B197,CartasAtributos!F$5:F$98,E197)+COUNTIFS(CartasAtributos!D$5:D$98,E197,CartasAtributos!F$5:F$98,B197)</f>
        <v>1</v>
      </c>
    </row>
    <row r="198" spans="1:6" hidden="1" x14ac:dyDescent="0.25">
      <c r="A198" s="1" t="s">
        <v>81</v>
      </c>
      <c r="B198" s="1" t="s">
        <v>85</v>
      </c>
      <c r="D198" s="1" t="s">
        <v>87</v>
      </c>
      <c r="E198" s="1" t="s">
        <v>92</v>
      </c>
      <c r="F198" s="1">
        <f>COUNTIFS(CartasAtributos!D$5:D$98,B198,CartasAtributos!F$5:F$98,E198)+COUNTIFS(CartasAtributos!D$5:D$98,E198,CartasAtributos!F$5:F$98,B198)</f>
        <v>0</v>
      </c>
    </row>
    <row r="199" spans="1:6" x14ac:dyDescent="0.25">
      <c r="A199" s="1" t="s">
        <v>81</v>
      </c>
      <c r="B199" s="1" t="s">
        <v>86</v>
      </c>
      <c r="D199" s="1" t="s">
        <v>87</v>
      </c>
      <c r="E199" s="1" t="s">
        <v>88</v>
      </c>
      <c r="F199" s="1">
        <f>COUNTIFS(CartasAtributos!D$5:D$98,B199,CartasAtributos!F$5:F$98,E199)+COUNTIFS(CartasAtributos!D$5:D$98,E199,CartasAtributos!F$5:F$98,B199)</f>
        <v>1</v>
      </c>
    </row>
    <row r="200" spans="1:6" hidden="1" x14ac:dyDescent="0.25">
      <c r="A200" s="1" t="s">
        <v>81</v>
      </c>
      <c r="B200" s="1" t="s">
        <v>86</v>
      </c>
      <c r="D200" s="1" t="s">
        <v>87</v>
      </c>
      <c r="E200" s="1" t="s">
        <v>89</v>
      </c>
      <c r="F200" s="1">
        <f>COUNTIFS(CartasAtributos!D$5:D$98,B200,CartasAtributos!F$5:F$98,E200)+COUNTIFS(CartasAtributos!D$5:D$98,E200,CartasAtributos!F$5:F$98,B200)</f>
        <v>0</v>
      </c>
    </row>
    <row r="201" spans="1:6" x14ac:dyDescent="0.25">
      <c r="A201" s="1" t="s">
        <v>81</v>
      </c>
      <c r="B201" s="1" t="s">
        <v>86</v>
      </c>
      <c r="D201" s="1" t="s">
        <v>87</v>
      </c>
      <c r="E201" s="1" t="s">
        <v>90</v>
      </c>
      <c r="F201" s="1">
        <f>COUNTIFS(CartasAtributos!D$5:D$98,B201,CartasAtributos!F$5:F$98,E201)+COUNTIFS(CartasAtributos!D$5:D$98,E201,CartasAtributos!F$5:F$98,B201)</f>
        <v>1</v>
      </c>
    </row>
    <row r="202" spans="1:6" hidden="1" x14ac:dyDescent="0.25">
      <c r="A202" s="1" t="s">
        <v>81</v>
      </c>
      <c r="B202" s="1" t="s">
        <v>86</v>
      </c>
      <c r="D202" s="1" t="s">
        <v>87</v>
      </c>
      <c r="E202" s="1" t="s">
        <v>91</v>
      </c>
      <c r="F202" s="1">
        <f>COUNTIFS(CartasAtributos!D$5:D$98,B202,CartasAtributos!F$5:F$98,E202)+COUNTIFS(CartasAtributos!D$5:D$98,E202,CartasAtributos!F$5:F$98,B202)</f>
        <v>0</v>
      </c>
    </row>
    <row r="203" spans="1:6" x14ac:dyDescent="0.25">
      <c r="A203" s="1" t="s">
        <v>81</v>
      </c>
      <c r="B203" s="1" t="s">
        <v>86</v>
      </c>
      <c r="D203" s="1" t="s">
        <v>87</v>
      </c>
      <c r="E203" s="1" t="s">
        <v>92</v>
      </c>
      <c r="F203" s="1">
        <f>COUNTIFS(CartasAtributos!D$5:D$98,B203,CartasAtributos!F$5:F$98,E203)+COUNTIFS(CartasAtributos!D$5:D$98,E203,CartasAtributos!F$5:F$98,B203)</f>
        <v>1</v>
      </c>
    </row>
    <row r="204" spans="1:6" hidden="1" x14ac:dyDescent="0.25">
      <c r="A204" s="1" t="s">
        <v>81</v>
      </c>
      <c r="B204" s="1" t="s">
        <v>82</v>
      </c>
      <c r="D204" s="1" t="s">
        <v>93</v>
      </c>
      <c r="E204" s="1" t="s">
        <v>94</v>
      </c>
      <c r="F204" s="1">
        <f>COUNTIFS(CartasAtributos!D$5:D$98,B204,CartasAtributos!F$5:F$98,E204)+COUNTIFS(CartasAtributos!D$5:D$98,E204,CartasAtributos!F$5:F$98,B204)</f>
        <v>0</v>
      </c>
    </row>
    <row r="205" spans="1:6" x14ac:dyDescent="0.25">
      <c r="A205" s="1" t="s">
        <v>81</v>
      </c>
      <c r="B205" s="1" t="s">
        <v>82</v>
      </c>
      <c r="D205" s="1" t="s">
        <v>93</v>
      </c>
      <c r="E205" s="1" t="s">
        <v>95</v>
      </c>
      <c r="F205" s="1">
        <f>COUNTIFS(CartasAtributos!D$5:D$98,B205,CartasAtributos!F$5:F$98,E205)+COUNTIFS(CartasAtributos!D$5:D$98,E205,CartasAtributos!F$5:F$98,B205)</f>
        <v>1</v>
      </c>
    </row>
    <row r="206" spans="1:6" x14ac:dyDescent="0.25">
      <c r="A206" s="1" t="s">
        <v>81</v>
      </c>
      <c r="B206" s="1" t="s">
        <v>82</v>
      </c>
      <c r="D206" s="1" t="s">
        <v>93</v>
      </c>
      <c r="E206" s="1" t="s">
        <v>96</v>
      </c>
      <c r="F206" s="1">
        <f>COUNTIFS(CartasAtributos!D$5:D$98,B206,CartasAtributos!F$5:F$98,E206)+COUNTIFS(CartasAtributos!D$5:D$98,E206,CartasAtributos!F$5:F$98,B206)</f>
        <v>1</v>
      </c>
    </row>
    <row r="207" spans="1:6" x14ac:dyDescent="0.25">
      <c r="A207" s="1" t="s">
        <v>81</v>
      </c>
      <c r="B207" s="1" t="s">
        <v>82</v>
      </c>
      <c r="D207" s="1" t="s">
        <v>93</v>
      </c>
      <c r="E207" s="1" t="s">
        <v>97</v>
      </c>
      <c r="F207" s="1">
        <f>COUNTIFS(CartasAtributos!D$5:D$98,B207,CartasAtributos!F$5:F$98,E207)+COUNTIFS(CartasAtributos!D$5:D$98,E207,CartasAtributos!F$5:F$98,B207)</f>
        <v>1</v>
      </c>
    </row>
    <row r="208" spans="1:6" hidden="1" x14ac:dyDescent="0.25">
      <c r="A208" s="1" t="s">
        <v>81</v>
      </c>
      <c r="B208" s="1" t="s">
        <v>82</v>
      </c>
      <c r="D208" s="1" t="s">
        <v>93</v>
      </c>
      <c r="E208" s="1" t="s">
        <v>98</v>
      </c>
      <c r="F208" s="1">
        <f>COUNTIFS(CartasAtributos!D$5:D$98,B208,CartasAtributos!F$5:F$98,E208)+COUNTIFS(CartasAtributos!D$5:D$98,E208,CartasAtributos!F$5:F$98,B208)</f>
        <v>0</v>
      </c>
    </row>
    <row r="209" spans="1:6" x14ac:dyDescent="0.25">
      <c r="A209" s="1" t="s">
        <v>81</v>
      </c>
      <c r="B209" s="1" t="s">
        <v>83</v>
      </c>
      <c r="D209" s="1" t="s">
        <v>93</v>
      </c>
      <c r="E209" s="1" t="s">
        <v>94</v>
      </c>
      <c r="F209" s="1">
        <f>COUNTIFS(CartasAtributos!D$5:D$98,B209,CartasAtributos!F$5:F$98,E209)+COUNTIFS(CartasAtributos!D$5:D$98,E209,CartasAtributos!F$5:F$98,B209)</f>
        <v>1</v>
      </c>
    </row>
    <row r="210" spans="1:6" x14ac:dyDescent="0.25">
      <c r="A210" s="1" t="s">
        <v>81</v>
      </c>
      <c r="B210" s="1" t="s">
        <v>83</v>
      </c>
      <c r="D210" s="1" t="s">
        <v>93</v>
      </c>
      <c r="E210" s="1" t="s">
        <v>95</v>
      </c>
      <c r="F210" s="1">
        <f>COUNTIFS(CartasAtributos!D$5:D$98,B210,CartasAtributos!F$5:F$98,E210)+COUNTIFS(CartasAtributos!D$5:D$98,E210,CartasAtributos!F$5:F$98,B210)</f>
        <v>1</v>
      </c>
    </row>
    <row r="211" spans="1:6" x14ac:dyDescent="0.25">
      <c r="A211" s="1" t="s">
        <v>81</v>
      </c>
      <c r="B211" s="1" t="s">
        <v>83</v>
      </c>
      <c r="D211" s="1" t="s">
        <v>93</v>
      </c>
      <c r="E211" s="1" t="s">
        <v>96</v>
      </c>
      <c r="F211" s="1">
        <f>COUNTIFS(CartasAtributos!D$5:D$98,B211,CartasAtributos!F$5:F$98,E211)+COUNTIFS(CartasAtributos!D$5:D$98,E211,CartasAtributos!F$5:F$98,B211)</f>
        <v>1</v>
      </c>
    </row>
    <row r="212" spans="1:6" hidden="1" x14ac:dyDescent="0.25">
      <c r="A212" s="1" t="s">
        <v>81</v>
      </c>
      <c r="B212" s="1" t="s">
        <v>83</v>
      </c>
      <c r="D212" s="1" t="s">
        <v>93</v>
      </c>
      <c r="E212" s="1" t="s">
        <v>97</v>
      </c>
      <c r="F212" s="1">
        <f>COUNTIFS(CartasAtributos!D$5:D$98,B212,CartasAtributos!F$5:F$98,E212)+COUNTIFS(CartasAtributos!D$5:D$98,E212,CartasAtributos!F$5:F$98,B212)</f>
        <v>0</v>
      </c>
    </row>
    <row r="213" spans="1:6" hidden="1" x14ac:dyDescent="0.25">
      <c r="A213" s="1" t="s">
        <v>81</v>
      </c>
      <c r="B213" s="1" t="s">
        <v>83</v>
      </c>
      <c r="D213" s="1" t="s">
        <v>93</v>
      </c>
      <c r="E213" s="1" t="s">
        <v>98</v>
      </c>
      <c r="F213" s="1">
        <f>COUNTIFS(CartasAtributos!D$5:D$98,B213,CartasAtributos!F$5:F$98,E213)+COUNTIFS(CartasAtributos!D$5:D$98,E213,CartasAtributos!F$5:F$98,B213)</f>
        <v>0</v>
      </c>
    </row>
    <row r="214" spans="1:6" hidden="1" x14ac:dyDescent="0.25">
      <c r="A214" s="1" t="s">
        <v>81</v>
      </c>
      <c r="B214" s="1" t="s">
        <v>84</v>
      </c>
      <c r="D214" s="1" t="s">
        <v>93</v>
      </c>
      <c r="E214" s="1" t="s">
        <v>94</v>
      </c>
      <c r="F214" s="1">
        <f>COUNTIFS(CartasAtributos!D$5:D$98,B214,CartasAtributos!F$5:F$98,E214)+COUNTIFS(CartasAtributos!D$5:D$98,E214,CartasAtributos!F$5:F$98,B214)</f>
        <v>0</v>
      </c>
    </row>
    <row r="215" spans="1:6" hidden="1" x14ac:dyDescent="0.25">
      <c r="A215" s="1" t="s">
        <v>81</v>
      </c>
      <c r="B215" s="1" t="s">
        <v>84</v>
      </c>
      <c r="D215" s="1" t="s">
        <v>93</v>
      </c>
      <c r="E215" s="1" t="s">
        <v>95</v>
      </c>
      <c r="F215" s="1">
        <f>COUNTIFS(CartasAtributos!D$5:D$98,B215,CartasAtributos!F$5:F$98,E215)+COUNTIFS(CartasAtributos!D$5:D$98,E215,CartasAtributos!F$5:F$98,B215)</f>
        <v>0</v>
      </c>
    </row>
    <row r="216" spans="1:6" hidden="1" x14ac:dyDescent="0.25">
      <c r="A216" s="1" t="s">
        <v>81</v>
      </c>
      <c r="B216" s="1" t="s">
        <v>84</v>
      </c>
      <c r="D216" s="1" t="s">
        <v>93</v>
      </c>
      <c r="E216" s="1" t="s">
        <v>96</v>
      </c>
      <c r="F216" s="1">
        <f>COUNTIFS(CartasAtributos!D$5:D$98,B216,CartasAtributos!F$5:F$98,E216)+COUNTIFS(CartasAtributos!D$5:D$98,E216,CartasAtributos!F$5:F$98,B216)</f>
        <v>0</v>
      </c>
    </row>
    <row r="217" spans="1:6" hidden="1" x14ac:dyDescent="0.25">
      <c r="A217" s="1" t="s">
        <v>81</v>
      </c>
      <c r="B217" s="1" t="s">
        <v>84</v>
      </c>
      <c r="D217" s="1" t="s">
        <v>93</v>
      </c>
      <c r="E217" s="1" t="s">
        <v>97</v>
      </c>
      <c r="F217" s="1">
        <f>COUNTIFS(CartasAtributos!D$5:D$98,B217,CartasAtributos!F$5:F$98,E217)+COUNTIFS(CartasAtributos!D$5:D$98,E217,CartasAtributos!F$5:F$98,B217)</f>
        <v>0</v>
      </c>
    </row>
    <row r="218" spans="1:6" hidden="1" x14ac:dyDescent="0.25">
      <c r="A218" s="1" t="s">
        <v>81</v>
      </c>
      <c r="B218" s="1" t="s">
        <v>84</v>
      </c>
      <c r="D218" s="1" t="s">
        <v>93</v>
      </c>
      <c r="E218" s="1" t="s">
        <v>98</v>
      </c>
      <c r="F218" s="1">
        <f>COUNTIFS(CartasAtributos!D$5:D$98,B218,CartasAtributos!F$5:F$98,E218)+COUNTIFS(CartasAtributos!D$5:D$98,E218,CartasAtributos!F$5:F$98,B218)</f>
        <v>0</v>
      </c>
    </row>
    <row r="219" spans="1:6" hidden="1" x14ac:dyDescent="0.25">
      <c r="A219" s="1" t="s">
        <v>81</v>
      </c>
      <c r="B219" s="1" t="s">
        <v>85</v>
      </c>
      <c r="D219" s="1" t="s">
        <v>93</v>
      </c>
      <c r="E219" s="1" t="s">
        <v>94</v>
      </c>
      <c r="F219" s="1">
        <f>COUNTIFS(CartasAtributos!D$5:D$98,B219,CartasAtributos!F$5:F$98,E219)+COUNTIFS(CartasAtributos!D$5:D$98,E219,CartasAtributos!F$5:F$98,B219)</f>
        <v>0</v>
      </c>
    </row>
    <row r="220" spans="1:6" hidden="1" x14ac:dyDescent="0.25">
      <c r="A220" s="1" t="s">
        <v>81</v>
      </c>
      <c r="B220" s="1" t="s">
        <v>85</v>
      </c>
      <c r="D220" s="1" t="s">
        <v>93</v>
      </c>
      <c r="E220" s="1" t="s">
        <v>95</v>
      </c>
      <c r="F220" s="1">
        <f>COUNTIFS(CartasAtributos!D$5:D$98,B220,CartasAtributos!F$5:F$98,E220)+COUNTIFS(CartasAtributos!D$5:D$98,E220,CartasAtributos!F$5:F$98,B220)</f>
        <v>0</v>
      </c>
    </row>
    <row r="221" spans="1:6" hidden="1" x14ac:dyDescent="0.25">
      <c r="A221" s="1" t="s">
        <v>81</v>
      </c>
      <c r="B221" s="1" t="s">
        <v>85</v>
      </c>
      <c r="D221" s="1" t="s">
        <v>93</v>
      </c>
      <c r="E221" s="1" t="s">
        <v>96</v>
      </c>
      <c r="F221" s="1">
        <f>COUNTIFS(CartasAtributos!D$5:D$98,B221,CartasAtributos!F$5:F$98,E221)+COUNTIFS(CartasAtributos!D$5:D$98,E221,CartasAtributos!F$5:F$98,B221)</f>
        <v>0</v>
      </c>
    </row>
    <row r="222" spans="1:6" hidden="1" x14ac:dyDescent="0.25">
      <c r="A222" s="1" t="s">
        <v>81</v>
      </c>
      <c r="B222" s="1" t="s">
        <v>85</v>
      </c>
      <c r="D222" s="1" t="s">
        <v>93</v>
      </c>
      <c r="E222" s="1" t="s">
        <v>97</v>
      </c>
      <c r="F222" s="1">
        <f>COUNTIFS(CartasAtributos!D$5:D$98,B222,CartasAtributos!F$5:F$98,E222)+COUNTIFS(CartasAtributos!D$5:D$98,E222,CartasAtributos!F$5:F$98,B222)</f>
        <v>0</v>
      </c>
    </row>
    <row r="223" spans="1:6" hidden="1" x14ac:dyDescent="0.25">
      <c r="A223" s="1" t="s">
        <v>81</v>
      </c>
      <c r="B223" s="1" t="s">
        <v>85</v>
      </c>
      <c r="D223" s="1" t="s">
        <v>93</v>
      </c>
      <c r="E223" s="1" t="s">
        <v>98</v>
      </c>
      <c r="F223" s="1">
        <f>COUNTIFS(CartasAtributos!D$5:D$98,B223,CartasAtributos!F$5:F$98,E223)+COUNTIFS(CartasAtributos!D$5:D$98,E223,CartasAtributos!F$5:F$98,B223)</f>
        <v>0</v>
      </c>
    </row>
    <row r="224" spans="1:6" hidden="1" x14ac:dyDescent="0.25">
      <c r="A224" s="1" t="s">
        <v>81</v>
      </c>
      <c r="B224" s="1" t="s">
        <v>86</v>
      </c>
      <c r="D224" s="1" t="s">
        <v>93</v>
      </c>
      <c r="E224" s="1" t="s">
        <v>94</v>
      </c>
      <c r="F224" s="1">
        <f>COUNTIFS(CartasAtributos!D$5:D$98,B224,CartasAtributos!F$5:F$98,E224)+COUNTIFS(CartasAtributos!D$5:D$98,E224,CartasAtributos!F$5:F$98,B224)</f>
        <v>0</v>
      </c>
    </row>
    <row r="225" spans="1:6" hidden="1" x14ac:dyDescent="0.25">
      <c r="A225" s="1" t="s">
        <v>81</v>
      </c>
      <c r="B225" s="1" t="s">
        <v>86</v>
      </c>
      <c r="D225" s="1" t="s">
        <v>93</v>
      </c>
      <c r="E225" s="1" t="s">
        <v>95</v>
      </c>
      <c r="F225" s="1">
        <f>COUNTIFS(CartasAtributos!D$5:D$98,B225,CartasAtributos!F$5:F$98,E225)+COUNTIFS(CartasAtributos!D$5:D$98,E225,CartasAtributos!F$5:F$98,B225)</f>
        <v>0</v>
      </c>
    </row>
    <row r="226" spans="1:6" hidden="1" x14ac:dyDescent="0.25">
      <c r="A226" s="1" t="s">
        <v>81</v>
      </c>
      <c r="B226" s="1" t="s">
        <v>86</v>
      </c>
      <c r="D226" s="1" t="s">
        <v>93</v>
      </c>
      <c r="E226" s="1" t="s">
        <v>96</v>
      </c>
      <c r="F226" s="1">
        <f>COUNTIFS(CartasAtributos!D$5:D$98,B226,CartasAtributos!F$5:F$98,E226)+COUNTIFS(CartasAtributos!D$5:D$98,E226,CartasAtributos!F$5:F$98,B226)</f>
        <v>0</v>
      </c>
    </row>
    <row r="227" spans="1:6" x14ac:dyDescent="0.25">
      <c r="A227" s="1" t="s">
        <v>81</v>
      </c>
      <c r="B227" s="1" t="s">
        <v>86</v>
      </c>
      <c r="D227" s="1" t="s">
        <v>93</v>
      </c>
      <c r="E227" s="1" t="s">
        <v>97</v>
      </c>
      <c r="F227" s="1">
        <f>COUNTIFS(CartasAtributos!D$5:D$98,B227,CartasAtributos!F$5:F$98,E227)+COUNTIFS(CartasAtributos!D$5:D$98,E227,CartasAtributos!F$5:F$98,B227)</f>
        <v>1</v>
      </c>
    </row>
    <row r="228" spans="1:6" hidden="1" x14ac:dyDescent="0.25">
      <c r="A228" s="1" t="s">
        <v>81</v>
      </c>
      <c r="B228" s="1" t="s">
        <v>86</v>
      </c>
      <c r="D228" s="1" t="s">
        <v>93</v>
      </c>
      <c r="E228" s="1" t="s">
        <v>98</v>
      </c>
      <c r="F228" s="1">
        <f>COUNTIFS(CartasAtributos!D$5:D$98,B228,CartasAtributos!F$5:F$98,E228)+COUNTIFS(CartasAtributos!D$5:D$98,E228,CartasAtributos!F$5:F$98,B228)</f>
        <v>0</v>
      </c>
    </row>
    <row r="229" spans="1:6" hidden="1" x14ac:dyDescent="0.25">
      <c r="A229" s="1" t="s">
        <v>87</v>
      </c>
      <c r="B229" s="1" t="s">
        <v>88</v>
      </c>
      <c r="D229" s="1" t="s">
        <v>93</v>
      </c>
      <c r="E229" s="1" t="s">
        <v>94</v>
      </c>
      <c r="F229" s="1">
        <f>COUNTIFS(CartasAtributos!D$5:D$98,B229,CartasAtributos!F$5:F$98,E229)+COUNTIFS(CartasAtributos!D$5:D$98,E229,CartasAtributos!F$5:F$98,B229)</f>
        <v>0</v>
      </c>
    </row>
    <row r="230" spans="1:6" x14ac:dyDescent="0.25">
      <c r="A230" s="1" t="s">
        <v>87</v>
      </c>
      <c r="B230" s="1" t="s">
        <v>88</v>
      </c>
      <c r="D230" s="1" t="s">
        <v>93</v>
      </c>
      <c r="E230" s="1" t="s">
        <v>95</v>
      </c>
      <c r="F230" s="1">
        <f>COUNTIFS(CartasAtributos!D$5:D$98,B230,CartasAtributos!F$5:F$98,E230)+COUNTIFS(CartasAtributos!D$5:D$98,E230,CartasAtributos!F$5:F$98,B230)</f>
        <v>1</v>
      </c>
    </row>
    <row r="231" spans="1:6" hidden="1" x14ac:dyDescent="0.25">
      <c r="A231" s="1" t="s">
        <v>87</v>
      </c>
      <c r="B231" s="1" t="s">
        <v>88</v>
      </c>
      <c r="D231" s="1" t="s">
        <v>93</v>
      </c>
      <c r="E231" s="1" t="s">
        <v>96</v>
      </c>
      <c r="F231" s="1">
        <f>COUNTIFS(CartasAtributos!D$5:D$98,B231,CartasAtributos!F$5:F$98,E231)+COUNTIFS(CartasAtributos!D$5:D$98,E231,CartasAtributos!F$5:F$98,B231)</f>
        <v>0</v>
      </c>
    </row>
    <row r="232" spans="1:6" hidden="1" x14ac:dyDescent="0.25">
      <c r="A232" s="1" t="s">
        <v>87</v>
      </c>
      <c r="B232" s="1" t="s">
        <v>88</v>
      </c>
      <c r="D232" s="1" t="s">
        <v>93</v>
      </c>
      <c r="E232" s="1" t="s">
        <v>97</v>
      </c>
      <c r="F232" s="1">
        <f>COUNTIFS(CartasAtributos!D$5:D$98,B232,CartasAtributos!F$5:F$98,E232)+COUNTIFS(CartasAtributos!D$5:D$98,E232,CartasAtributos!F$5:F$98,B232)</f>
        <v>0</v>
      </c>
    </row>
    <row r="233" spans="1:6" hidden="1" x14ac:dyDescent="0.25">
      <c r="A233" s="1" t="s">
        <v>87</v>
      </c>
      <c r="B233" s="1" t="s">
        <v>88</v>
      </c>
      <c r="D233" s="1" t="s">
        <v>93</v>
      </c>
      <c r="E233" s="1" t="s">
        <v>98</v>
      </c>
      <c r="F233" s="1">
        <f>COUNTIFS(CartasAtributos!D$5:D$98,B233,CartasAtributos!F$5:F$98,E233)+COUNTIFS(CartasAtributos!D$5:D$98,E233,CartasAtributos!F$5:F$98,B233)</f>
        <v>0</v>
      </c>
    </row>
    <row r="234" spans="1:6" hidden="1" x14ac:dyDescent="0.25">
      <c r="A234" s="1" t="s">
        <v>87</v>
      </c>
      <c r="B234" s="1" t="s">
        <v>89</v>
      </c>
      <c r="D234" s="1" t="s">
        <v>93</v>
      </c>
      <c r="E234" s="1" t="s">
        <v>94</v>
      </c>
      <c r="F234" s="1">
        <f>COUNTIFS(CartasAtributos!D$5:D$98,B234,CartasAtributos!F$5:F$98,E234)+COUNTIFS(CartasAtributos!D$5:D$98,E234,CartasAtributos!F$5:F$98,B234)</f>
        <v>0</v>
      </c>
    </row>
    <row r="235" spans="1:6" x14ac:dyDescent="0.25">
      <c r="A235" s="1" t="s">
        <v>87</v>
      </c>
      <c r="B235" s="1" t="s">
        <v>89</v>
      </c>
      <c r="D235" s="1" t="s">
        <v>93</v>
      </c>
      <c r="E235" s="1" t="s">
        <v>95</v>
      </c>
      <c r="F235" s="1">
        <f>COUNTIFS(CartasAtributos!D$5:D$98,B235,CartasAtributos!F$5:F$98,E235)+COUNTIFS(CartasAtributos!D$5:D$98,E235,CartasAtributos!F$5:F$98,B235)</f>
        <v>1</v>
      </c>
    </row>
    <row r="236" spans="1:6" x14ac:dyDescent="0.25">
      <c r="A236" s="1" t="s">
        <v>87</v>
      </c>
      <c r="B236" s="1" t="s">
        <v>89</v>
      </c>
      <c r="D236" s="1" t="s">
        <v>93</v>
      </c>
      <c r="E236" s="1" t="s">
        <v>96</v>
      </c>
      <c r="F236" s="1">
        <f>COUNTIFS(CartasAtributos!D$5:D$98,B236,CartasAtributos!F$5:F$98,E236)+COUNTIFS(CartasAtributos!D$5:D$98,E236,CartasAtributos!F$5:F$98,B236)</f>
        <v>1</v>
      </c>
    </row>
    <row r="237" spans="1:6" hidden="1" x14ac:dyDescent="0.25">
      <c r="A237" s="1" t="s">
        <v>87</v>
      </c>
      <c r="B237" s="1" t="s">
        <v>89</v>
      </c>
      <c r="D237" s="1" t="s">
        <v>93</v>
      </c>
      <c r="E237" s="1" t="s">
        <v>97</v>
      </c>
      <c r="F237" s="1">
        <f>COUNTIFS(CartasAtributos!D$5:D$98,B237,CartasAtributos!F$5:F$98,E237)+COUNTIFS(CartasAtributos!D$5:D$98,E237,CartasAtributos!F$5:F$98,B237)</f>
        <v>0</v>
      </c>
    </row>
    <row r="238" spans="1:6" hidden="1" x14ac:dyDescent="0.25">
      <c r="A238" s="1" t="s">
        <v>87</v>
      </c>
      <c r="B238" s="1" t="s">
        <v>89</v>
      </c>
      <c r="D238" s="1" t="s">
        <v>93</v>
      </c>
      <c r="E238" s="1" t="s">
        <v>98</v>
      </c>
      <c r="F238" s="1">
        <f>COUNTIFS(CartasAtributos!D$5:D$98,B238,CartasAtributos!F$5:F$98,E238)+COUNTIFS(CartasAtributos!D$5:D$98,E238,CartasAtributos!F$5:F$98,B238)</f>
        <v>0</v>
      </c>
    </row>
    <row r="239" spans="1:6" x14ac:dyDescent="0.25">
      <c r="A239" s="1" t="s">
        <v>87</v>
      </c>
      <c r="B239" s="1" t="s">
        <v>90</v>
      </c>
      <c r="D239" s="1" t="s">
        <v>93</v>
      </c>
      <c r="E239" s="1" t="s">
        <v>94</v>
      </c>
      <c r="F239" s="1">
        <f>COUNTIFS(CartasAtributos!D$5:D$98,B239,CartasAtributos!F$5:F$98,E239)+COUNTIFS(CartasAtributos!D$5:D$98,E239,CartasAtributos!F$5:F$98,B239)</f>
        <v>1</v>
      </c>
    </row>
    <row r="240" spans="1:6" hidden="1" x14ac:dyDescent="0.25">
      <c r="A240" s="1" t="s">
        <v>87</v>
      </c>
      <c r="B240" s="1" t="s">
        <v>90</v>
      </c>
      <c r="D240" s="1" t="s">
        <v>93</v>
      </c>
      <c r="E240" s="1" t="s">
        <v>95</v>
      </c>
      <c r="F240" s="1">
        <f>COUNTIFS(CartasAtributos!D$5:D$98,B240,CartasAtributos!F$5:F$98,E240)+COUNTIFS(CartasAtributos!D$5:D$98,E240,CartasAtributos!F$5:F$98,B240)</f>
        <v>0</v>
      </c>
    </row>
    <row r="241" spans="1:6" hidden="1" x14ac:dyDescent="0.25">
      <c r="A241" s="1" t="s">
        <v>87</v>
      </c>
      <c r="B241" s="1" t="s">
        <v>90</v>
      </c>
      <c r="D241" s="1" t="s">
        <v>93</v>
      </c>
      <c r="E241" s="1" t="s">
        <v>96</v>
      </c>
      <c r="F241" s="1">
        <f>COUNTIFS(CartasAtributos!D$5:D$98,B241,CartasAtributos!F$5:F$98,E241)+COUNTIFS(CartasAtributos!D$5:D$98,E241,CartasAtributos!F$5:F$98,B241)</f>
        <v>0</v>
      </c>
    </row>
    <row r="242" spans="1:6" x14ac:dyDescent="0.25">
      <c r="A242" s="1" t="s">
        <v>87</v>
      </c>
      <c r="B242" s="1" t="s">
        <v>90</v>
      </c>
      <c r="D242" s="1" t="s">
        <v>93</v>
      </c>
      <c r="E242" s="1" t="s">
        <v>97</v>
      </c>
      <c r="F242" s="1">
        <f>COUNTIFS(CartasAtributos!D$5:D$98,B242,CartasAtributos!F$5:F$98,E242)+COUNTIFS(CartasAtributos!D$5:D$98,E242,CartasAtributos!F$5:F$98,B242)</f>
        <v>1</v>
      </c>
    </row>
    <row r="243" spans="1:6" hidden="1" x14ac:dyDescent="0.25">
      <c r="A243" s="1" t="s">
        <v>87</v>
      </c>
      <c r="B243" s="1" t="s">
        <v>90</v>
      </c>
      <c r="D243" s="1" t="s">
        <v>93</v>
      </c>
      <c r="E243" s="1" t="s">
        <v>98</v>
      </c>
      <c r="F243" s="1">
        <f>COUNTIFS(CartasAtributos!D$5:D$98,B243,CartasAtributos!F$5:F$98,E243)+COUNTIFS(CartasAtributos!D$5:D$98,E243,CartasAtributos!F$5:F$98,B243)</f>
        <v>0</v>
      </c>
    </row>
    <row r="244" spans="1:6" x14ac:dyDescent="0.25">
      <c r="A244" s="1" t="s">
        <v>87</v>
      </c>
      <c r="B244" s="1" t="s">
        <v>91</v>
      </c>
      <c r="D244" s="1" t="s">
        <v>93</v>
      </c>
      <c r="E244" s="1" t="s">
        <v>94</v>
      </c>
      <c r="F244" s="1">
        <f>COUNTIFS(CartasAtributos!D$5:D$98,B244,CartasAtributos!F$5:F$98,E244)+COUNTIFS(CartasAtributos!D$5:D$98,E244,CartasAtributos!F$5:F$98,B244)</f>
        <v>1</v>
      </c>
    </row>
    <row r="245" spans="1:6" hidden="1" x14ac:dyDescent="0.25">
      <c r="A245" s="1" t="s">
        <v>87</v>
      </c>
      <c r="B245" s="1" t="s">
        <v>91</v>
      </c>
      <c r="D245" s="1" t="s">
        <v>93</v>
      </c>
      <c r="E245" s="1" t="s">
        <v>95</v>
      </c>
      <c r="F245" s="1">
        <f>COUNTIFS(CartasAtributos!D$5:D$98,B245,CartasAtributos!F$5:F$98,E245)+COUNTIFS(CartasAtributos!D$5:D$98,E245,CartasAtributos!F$5:F$98,B245)</f>
        <v>0</v>
      </c>
    </row>
    <row r="246" spans="1:6" hidden="1" x14ac:dyDescent="0.25">
      <c r="A246" s="1" t="s">
        <v>87</v>
      </c>
      <c r="B246" s="1" t="s">
        <v>91</v>
      </c>
      <c r="D246" s="1" t="s">
        <v>93</v>
      </c>
      <c r="E246" s="1" t="s">
        <v>96</v>
      </c>
      <c r="F246" s="1">
        <f>COUNTIFS(CartasAtributos!D$5:D$98,B246,CartasAtributos!F$5:F$98,E246)+COUNTIFS(CartasAtributos!D$5:D$98,E246,CartasAtributos!F$5:F$98,B246)</f>
        <v>0</v>
      </c>
    </row>
    <row r="247" spans="1:6" hidden="1" x14ac:dyDescent="0.25">
      <c r="A247" s="1" t="s">
        <v>87</v>
      </c>
      <c r="B247" s="1" t="s">
        <v>91</v>
      </c>
      <c r="D247" s="1" t="s">
        <v>93</v>
      </c>
      <c r="E247" s="1" t="s">
        <v>97</v>
      </c>
      <c r="F247" s="1">
        <f>COUNTIFS(CartasAtributos!D$5:D$98,B247,CartasAtributos!F$5:F$98,E247)+COUNTIFS(CartasAtributos!D$5:D$98,E247,CartasAtributos!F$5:F$98,B247)</f>
        <v>0</v>
      </c>
    </row>
    <row r="248" spans="1:6" x14ac:dyDescent="0.25">
      <c r="A248" s="1" t="s">
        <v>87</v>
      </c>
      <c r="B248" s="1" t="s">
        <v>91</v>
      </c>
      <c r="D248" s="1" t="s">
        <v>93</v>
      </c>
      <c r="E248" s="1" t="s">
        <v>98</v>
      </c>
      <c r="F248" s="1">
        <f>COUNTIFS(CartasAtributos!D$5:D$98,B248,CartasAtributos!F$5:F$98,E248)+COUNTIFS(CartasAtributos!D$5:D$98,E248,CartasAtributos!F$5:F$98,B248)</f>
        <v>1</v>
      </c>
    </row>
    <row r="249" spans="1:6" hidden="1" x14ac:dyDescent="0.25">
      <c r="A249" s="1" t="s">
        <v>87</v>
      </c>
      <c r="B249" s="1" t="s">
        <v>92</v>
      </c>
      <c r="D249" s="1" t="s">
        <v>93</v>
      </c>
      <c r="E249" s="1" t="s">
        <v>94</v>
      </c>
      <c r="F249" s="1">
        <f>COUNTIFS(CartasAtributos!D$5:D$98,B249,CartasAtributos!F$5:F$98,E249)+COUNTIFS(CartasAtributos!D$5:D$98,E249,CartasAtributos!F$5:F$98,B249)</f>
        <v>0</v>
      </c>
    </row>
    <row r="250" spans="1:6" hidden="1" x14ac:dyDescent="0.25">
      <c r="A250" s="1" t="s">
        <v>87</v>
      </c>
      <c r="B250" s="1" t="s">
        <v>92</v>
      </c>
      <c r="D250" s="1" t="s">
        <v>93</v>
      </c>
      <c r="E250" s="1" t="s">
        <v>95</v>
      </c>
      <c r="F250" s="1">
        <f>COUNTIFS(CartasAtributos!D$5:D$98,B250,CartasAtributos!F$5:F$98,E250)+COUNTIFS(CartasAtributos!D$5:D$98,E250,CartasAtributos!F$5:F$98,B250)</f>
        <v>0</v>
      </c>
    </row>
    <row r="251" spans="1:6" hidden="1" x14ac:dyDescent="0.25">
      <c r="A251" s="1" t="s">
        <v>87</v>
      </c>
      <c r="B251" s="1" t="s">
        <v>92</v>
      </c>
      <c r="D251" s="1" t="s">
        <v>93</v>
      </c>
      <c r="E251" s="1" t="s">
        <v>96</v>
      </c>
      <c r="F251" s="1">
        <f>COUNTIFS(CartasAtributos!D$5:D$98,B251,CartasAtributos!F$5:F$98,E251)+COUNTIFS(CartasAtributos!D$5:D$98,E251,CartasAtributos!F$5:F$98,B251)</f>
        <v>0</v>
      </c>
    </row>
    <row r="252" spans="1:6" hidden="1" x14ac:dyDescent="0.25">
      <c r="A252" s="1" t="s">
        <v>87</v>
      </c>
      <c r="B252" s="1" t="s">
        <v>92</v>
      </c>
      <c r="D252" s="1" t="s">
        <v>93</v>
      </c>
      <c r="E252" s="1" t="s">
        <v>97</v>
      </c>
      <c r="F252" s="1">
        <f>COUNTIFS(CartasAtributos!D$5:D$98,B252,CartasAtributos!F$5:F$98,E252)+COUNTIFS(CartasAtributos!D$5:D$98,E252,CartasAtributos!F$5:F$98,B252)</f>
        <v>0</v>
      </c>
    </row>
    <row r="253" spans="1:6" x14ac:dyDescent="0.25">
      <c r="A253" s="1" t="s">
        <v>87</v>
      </c>
      <c r="B253" s="1" t="s">
        <v>92</v>
      </c>
      <c r="D253" s="1" t="s">
        <v>93</v>
      </c>
      <c r="E253" s="1" t="s">
        <v>98</v>
      </c>
      <c r="F253" s="1">
        <f>COUNTIFS(CartasAtributos!D$5:D$98,B253,CartasAtributos!F$5:F$98,E253)+COUNTIFS(CartasAtributos!D$5:D$98,E253,CartasAtributos!F$5:F$98,B253)</f>
        <v>1</v>
      </c>
    </row>
    <row r="255" spans="1:6" x14ac:dyDescent="0.25">
      <c r="E255" s="1" t="s">
        <v>99</v>
      </c>
      <c r="F255" s="1">
        <f>SUM(F4:F253)</f>
        <v>87</v>
      </c>
    </row>
  </sheetData>
  <mergeCells count="1">
    <mergeCell ref="B1:I1"/>
  </mergeCells>
  <conditionalFormatting sqref="A2:XFD1048576">
    <cfRule type="cellIs" dxfId="9" priority="1" operator="equal">
      <formula>"Vibe"</formula>
    </cfRule>
    <cfRule type="cellIs" dxfId="8" priority="2" operator="equal">
      <formula>"Celebração"</formula>
    </cfRule>
    <cfRule type="cellIs" dxfId="7" priority="3" operator="equal">
      <formula>"Tema"</formula>
    </cfRule>
    <cfRule type="cellIs" dxfId="6" priority="4" operator="equal">
      <formula>"Paleta"</formula>
    </cfRule>
    <cfRule type="cellIs" dxfId="5" priority="5" operator="equal">
      <formula>"Origem"</formula>
    </cfRule>
  </conditionalFormatting>
  <conditionalFormatting sqref="B1:D1 J1:XFD1">
    <cfRule type="cellIs" dxfId="4" priority="11" operator="equal">
      <formula>"Vibe"</formula>
    </cfRule>
    <cfRule type="cellIs" dxfId="3" priority="12" operator="equal">
      <formula>"Celebração"</formula>
    </cfRule>
    <cfRule type="cellIs" dxfId="2" priority="13" operator="equal">
      <formula>"Tema"</formula>
    </cfRule>
    <cfRule type="cellIs" dxfId="1" priority="14" operator="equal">
      <formula>"Paleta"</formula>
    </cfRule>
    <cfRule type="cellIs" dxfId="0" priority="15" operator="equal">
      <formula>"Origem"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CartasAtributos</vt:lpstr>
      <vt:lpstr>CombinaçõesCategorias</vt:lpstr>
      <vt:lpstr>CombinaçõesAtributos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SAGGIOMO</dc:creator>
  <cp:lastModifiedBy>Giovanna Saggiomo</cp:lastModifiedBy>
  <dcterms:created xsi:type="dcterms:W3CDTF">2026-04-09T11:40:20Z</dcterms:created>
  <dcterms:modified xsi:type="dcterms:W3CDTF">2026-04-13T21:11:04Z</dcterms:modified>
</cp:coreProperties>
</file>